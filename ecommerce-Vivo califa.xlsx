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drawings/drawing6.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3.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4.xml" ContentType="application/vnd.openxmlformats-officedocument.themeOverride+xml"/>
  <Override PartName="/xl/charts/chartEx1.xml" ContentType="application/vnd.ms-office.chartex+xml"/>
  <Override PartName="/xl/charts/style10.xml" ContentType="application/vnd.ms-office.chartstyle+xml"/>
  <Override PartName="/xl/charts/colors10.xml" ContentType="application/vnd.ms-office.chartcolorstyle+xml"/>
  <Override PartName="/xl/theme/themeOverride5.xml" ContentType="application/vnd.openxmlformats-officedocument.themeOverride+xml"/>
  <Override PartName="/xl/charts/chartEx2.xml" ContentType="application/vnd.ms-office.chartex+xml"/>
  <Override PartName="/xl/charts/style11.xml" ContentType="application/vnd.ms-office.chartstyle+xml"/>
  <Override PartName="/xl/charts/colors11.xml" ContentType="application/vnd.ms-office.chartcolorstyle+xml"/>
  <Override PartName="/xl/theme/themeOverride6.xml" ContentType="application/vnd.openxmlformats-officedocument.themeOverrid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7.xml" ContentType="application/vnd.openxmlformats-officedocument.themeOverrid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8.xml" ContentType="application/vnd.openxmlformats-officedocument.themeOverrid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ENOVO\Desktop\"/>
    </mc:Choice>
  </mc:AlternateContent>
  <xr:revisionPtr revIDLastSave="0" documentId="13_ncr:1_{17F4E2B2-A228-4691-9814-AB8336DE1B14}" xr6:coauthVersionLast="47" xr6:coauthVersionMax="47" xr10:uidLastSave="{00000000-0000-0000-0000-000000000000}"/>
  <bookViews>
    <workbookView xWindow="-110" yWindow="-110" windowWidth="19420" windowHeight="10300" firstSheet="5" activeTab="9" xr2:uid="{346724B3-1C49-40AE-AA36-C77CF5D6DD09}"/>
  </bookViews>
  <sheets>
    <sheet name="Question 1" sheetId="5" r:id="rId1"/>
    <sheet name="Question 2" sheetId="9" r:id="rId2"/>
    <sheet name="Question 3" sheetId="10" r:id="rId3"/>
    <sheet name="Question 4 and 5" sheetId="11" r:id="rId4"/>
    <sheet name="Question 6" sheetId="12" r:id="rId5"/>
    <sheet name="Question 7" sheetId="13" r:id="rId6"/>
    <sheet name="Question 8" sheetId="14" r:id="rId7"/>
    <sheet name="Data" sheetId="1" r:id="rId8"/>
    <sheet name="Questions &amp; KPIs" sheetId="2" r:id="rId9"/>
    <sheet name="Dashboard" sheetId="7" r:id="rId10"/>
    <sheet name="Logo &amp; Colors" sheetId="4" r:id="rId11"/>
  </sheets>
  <definedNames>
    <definedName name="_xlchart.v5.0" hidden="1">'Question 6'!$I$7:$J$7</definedName>
    <definedName name="_xlchart.v5.1" hidden="1">'Question 6'!$I$8:$J$65</definedName>
    <definedName name="_xlchart.v5.10" hidden="1">'Question 6'!$O$7</definedName>
    <definedName name="_xlchart.v5.11" hidden="1">'Question 6'!$O$8:$O$65</definedName>
    <definedName name="_xlchart.v5.2" hidden="1">'Question 6'!$K$7</definedName>
    <definedName name="_xlchart.v5.3" hidden="1">'Question 6'!$K$8:$K$65</definedName>
    <definedName name="_xlchart.v5.4" hidden="1">'Question 6'!$I$7:$J$7</definedName>
    <definedName name="_xlchart.v5.5" hidden="1">'Question 6'!$I$8:$J$65</definedName>
    <definedName name="_xlchart.v5.6" hidden="1">'Question 6'!$K$7</definedName>
    <definedName name="_xlchart.v5.7" hidden="1">'Question 6'!$K$8:$K$65</definedName>
    <definedName name="_xlchart.v5.8" hidden="1">'Question 6'!$M$7:$N$7</definedName>
    <definedName name="_xlchart.v5.9" hidden="1">'Question 6'!$M$8:$N$65</definedName>
    <definedName name="Slicer_Gender_Value">#N/A</definedName>
    <definedName name="Slicer_Order_Mode">#N/A</definedName>
  </definedNames>
  <calcPr calcId="191029"/>
  <pivotCaches>
    <pivotCache cacheId="36"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6" i="9" l="1"/>
  <c r="M7" i="9"/>
  <c r="M8" i="9"/>
  <c r="M9" i="9"/>
  <c r="M5" i="9"/>
  <c r="L6" i="9"/>
  <c r="L7" i="9"/>
  <c r="L8" i="9"/>
  <c r="L9" i="9"/>
  <c r="L5" i="9"/>
  <c r="K6" i="9"/>
  <c r="K7" i="9"/>
  <c r="K8" i="9"/>
  <c r="K9" i="9"/>
  <c r="K5" i="9"/>
  <c r="J6" i="9"/>
  <c r="J7" i="9"/>
  <c r="J8" i="9"/>
  <c r="J9" i="9"/>
  <c r="J5" i="9"/>
  <c r="K4" i="9"/>
  <c r="L4" i="9"/>
  <c r="M4" i="9"/>
  <c r="J4" i="9"/>
  <c r="I6" i="9"/>
  <c r="I7" i="9"/>
  <c r="I8" i="9"/>
  <c r="I9" i="9"/>
  <c r="I5" i="9"/>
  <c r="H4" i="5"/>
  <c r="K4" i="5"/>
  <c r="I4" i="5"/>
  <c r="J4" i="5"/>
  <c r="G4" i="5"/>
  <c r="O4" i="1" a="1"/>
  <c r="O4" i="1" s="1"/>
  <c r="N4" i="1"/>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<sst xmlns="http://schemas.openxmlformats.org/spreadsheetml/2006/main" count="14909" uniqueCount="2576">
  <si>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</si>
  <si>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</si>
  <si>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</si>
  <si>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</si>
  <si>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</si>
  <si>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</si>
  <si>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</si>
  <si>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</si>
  <si>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</si>
  <si>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</si>
  <si>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</si>
  <si>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</si>
  <si>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</si>
  <si>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</si>
  <si>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</si>
  <si>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</si>
  <si>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</si>
  <si>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</si>
  <si>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</si>
  <si>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</si>
  <si>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</si>
  <si>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</si>
  <si>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</si>
  <si>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</si>
  <si>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</si>
  <si>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</si>
  <si>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</si>
  <si>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</si>
  <si>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</si>
  <si>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</si>
  <si>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</si>
  <si>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</si>
  <si>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</si>
  <si>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</si>
  <si>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</si>
  <si>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</si>
  <si>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</si>
  <si>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</si>
  <si>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</si>
  <si>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</si>
  <si>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</si>
  <si>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</si>
  <si>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</si>
  <si>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</si>
  <si>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</si>
  <si>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</si>
  <si>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</si>
  <si>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</si>
  <si>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</si>
  <si>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</si>
  <si>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</si>
  <si>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</si>
  <si>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</si>
  <si>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</si>
  <si>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</si>
  <si>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</si>
  <si>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</si>
  <si>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</si>
  <si>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</si>
  <si>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</si>
  <si>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</si>
  <si>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</si>
  <si>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</si>
  <si>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</si>
  <si>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</si>
  <si>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</si>
  <si>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</si>
  <si>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</si>
  <si>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</si>
  <si>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</si>
  <si>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</si>
  <si>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</si>
  <si>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</si>
  <si>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</si>
  <si>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</si>
  <si>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</si>
  <si>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</si>
  <si>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</si>
  <si>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</si>
  <si>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</si>
  <si>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</si>
  <si>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</si>
  <si>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</si>
  <si>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</si>
  <si>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</si>
  <si>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</si>
  <si>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</si>
  <si>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</si>
  <si>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</si>
  <si>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</si>
  <si>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</si>
  <si>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</si>
  <si>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</si>
  <si>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</si>
  <si>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</si>
  <si>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</si>
  <si>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</si>
  <si>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</si>
  <si>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</si>
  <si>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</si>
  <si>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</si>
  <si>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</si>
  <si>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</si>
  <si>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</si>
  <si>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</si>
  <si>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</si>
  <si>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</si>
  <si>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</si>
  <si>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</si>
  <si>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</si>
  <si>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</si>
  <si>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</si>
  <si>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</si>
  <si>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</si>
  <si>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</si>
  <si>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</si>
  <si>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</si>
  <si>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</si>
  <si>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</si>
  <si>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</si>
  <si>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</si>
  <si>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</si>
  <si>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</si>
  <si>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</si>
  <si>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</si>
  <si>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</si>
  <si>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</si>
  <si>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</si>
  <si>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</si>
  <si>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</si>
  <si>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</si>
  <si>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</si>
  <si>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</si>
  <si>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</si>
  <si>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</si>
  <si>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</si>
  <si>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</si>
  <si>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</si>
  <si>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</si>
  <si>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</si>
  <si>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</si>
  <si>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</si>
  <si>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</si>
  <si>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</si>
  <si>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</si>
  <si>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</si>
  <si>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</si>
  <si>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</si>
  <si>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</si>
  <si>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</si>
  <si>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</si>
  <si>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</si>
  <si>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</si>
  <si>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</si>
  <si>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</si>
  <si>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</si>
  <si>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</si>
  <si>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</si>
  <si>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</si>
  <si>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</si>
  <si>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</si>
  <si>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</si>
  <si>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</si>
  <si>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</si>
  <si>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</si>
  <si>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</si>
  <si>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</si>
  <si>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</si>
  <si>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</si>
  <si>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</si>
  <si>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</si>
  <si>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</si>
  <si>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</si>
  <si>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</si>
  <si>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</si>
  <si>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</si>
  <si>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</si>
  <si>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</si>
  <si>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</si>
  <si>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</si>
  <si>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</si>
  <si>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</si>
  <si>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</si>
  <si>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</si>
  <si>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</si>
  <si>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</si>
  <si>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</si>
  <si>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</si>
  <si>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</si>
  <si>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</si>
  <si>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</si>
  <si>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</si>
  <si>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</si>
  <si>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</si>
  <si>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</si>
  <si>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</si>
  <si>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</si>
  <si>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</si>
  <si>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</si>
  <si>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</si>
  <si>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</si>
  <si>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</si>
  <si>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</si>
  <si>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</si>
  <si>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</si>
  <si>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</si>
  <si>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</si>
  <si>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</si>
  <si>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</si>
  <si>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</si>
  <si>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</si>
  <si>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</si>
  <si>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</si>
  <si>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</si>
  <si>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</si>
  <si>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</si>
  <si>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</si>
  <si>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</si>
  <si>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</si>
  <si>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</si>
  <si>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</si>
  <si>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</si>
  <si>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</si>
  <si>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</si>
  <si>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</si>
  <si>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</si>
  <si>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</si>
  <si>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</si>
  <si>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</si>
  <si>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</si>
  <si>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</si>
  <si>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</si>
  <si>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</si>
  <si>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</si>
  <si>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</si>
  <si>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</si>
  <si>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</si>
  <si>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</si>
  <si>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</si>
  <si>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</si>
  <si>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</si>
  <si>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</si>
  <si>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</si>
  <si>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</si>
  <si>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</si>
  <si>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</si>
  <si>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</si>
  <si>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</si>
  <si>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</si>
  <si>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</si>
  <si>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</si>
  <si>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</si>
  <si>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</si>
  <si>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</si>
  <si>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</si>
  <si>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</si>
  <si>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</si>
  <si>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</si>
  <si>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</si>
  <si>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</si>
  <si>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</si>
  <si>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</si>
  <si>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</si>
  <si>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</si>
  <si>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</si>
  <si>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</si>
  <si>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</si>
  <si>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</si>
  <si>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</si>
  <si>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</si>
  <si>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</si>
  <si>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</si>
  <si>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</si>
  <si>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</si>
  <si>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</si>
  <si>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</si>
  <si>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</si>
  <si>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</si>
  <si>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</si>
  <si>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</si>
  <si>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</si>
  <si>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</si>
  <si>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</si>
  <si>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</si>
  <si>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</si>
  <si>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</si>
  <si>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</si>
  <si>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</si>
  <si>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</si>
  <si>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</si>
  <si>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</si>
  <si>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</si>
  <si>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</si>
  <si>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</si>
  <si>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</si>
  <si>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</si>
  <si>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</si>
  <si>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</si>
  <si>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</si>
  <si>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</si>
  <si>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</si>
  <si>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</si>
  <si>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</si>
  <si>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</si>
  <si>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</si>
  <si>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</si>
  <si>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</si>
  <si>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</si>
  <si>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</si>
  <si>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</si>
  <si>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</si>
  <si>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</si>
  <si>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</si>
  <si>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</si>
  <si>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</si>
  <si>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</si>
  <si>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</si>
  <si>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</si>
  <si>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</si>
  <si>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</si>
  <si>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</si>
  <si>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</si>
  <si>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</si>
  <si>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</si>
  <si>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</si>
  <si>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</si>
  <si>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</si>
  <si>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</si>
  <si>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</si>
  <si>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</si>
  <si>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</si>
  <si>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</si>
  <si>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</si>
  <si>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</si>
  <si>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</si>
  <si>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</si>
  <si>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</si>
  <si>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</si>
  <si>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</si>
  <si>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</si>
  <si>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</si>
  <si>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</si>
  <si>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</si>
  <si>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</si>
  <si>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</si>
  <si>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</si>
  <si>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</si>
  <si>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</si>
  <si>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</si>
  <si>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</si>
  <si>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</si>
  <si>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</si>
  <si>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</si>
  <si>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</si>
  <si>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</si>
  <si>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</si>
  <si>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</si>
  <si>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</si>
  <si>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</si>
  <si>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</si>
  <si>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</si>
  <si>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</si>
  <si>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</si>
  <si>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</si>
  <si>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</si>
  <si>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</si>
  <si>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</si>
  <si>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</si>
  <si>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</si>
  <si>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</si>
  <si>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</si>
  <si>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</si>
  <si>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</si>
  <si>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</si>
  <si>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</si>
  <si>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</si>
  <si>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</si>
  <si>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</si>
  <si>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</si>
  <si>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</si>
  <si>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</si>
  <si>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</si>
  <si>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</si>
  <si>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</si>
  <si>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</si>
  <si>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</si>
  <si>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</si>
  <si>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</si>
  <si>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</si>
  <si>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</si>
  <si>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</si>
  <si>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</si>
  <si>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</si>
  <si>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</si>
  <si>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</si>
  <si>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</si>
  <si>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</si>
  <si>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</si>
  <si>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</si>
  <si>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</si>
  <si>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</si>
  <si>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</si>
  <si>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</si>
  <si>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</si>
  <si>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</si>
  <si>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</si>
  <si>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</si>
  <si>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</si>
  <si>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</si>
  <si>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</si>
  <si>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</si>
  <si>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</si>
  <si>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</si>
  <si>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</si>
  <si>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</si>
  <si>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</si>
  <si>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</si>
  <si>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</si>
  <si>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</si>
  <si>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</si>
  <si>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</si>
  <si>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</si>
  <si>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</si>
  <si>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</si>
  <si>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</si>
  <si>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</si>
  <si>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</si>
  <si>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</si>
  <si>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</si>
  <si>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</si>
  <si>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</si>
  <si>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</si>
  <si>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</si>
  <si>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</si>
  <si>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</si>
  <si>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</si>
  <si>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</si>
  <si>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</si>
  <si>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</si>
  <si>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</si>
  <si>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</si>
  <si>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</si>
  <si>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</si>
  <si>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</si>
  <si>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</si>
  <si>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</si>
  <si>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</si>
  <si>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</si>
  <si>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</si>
  <si>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</si>
  <si>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</si>
  <si>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</si>
  <si>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</si>
  <si>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</si>
  <si>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</si>
  <si>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</si>
  <si>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</si>
  <si>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</si>
  <si>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</si>
  <si>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</si>
  <si>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</si>
  <si>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</si>
  <si>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</si>
  <si>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</si>
  <si>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</si>
  <si>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</si>
  <si>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</si>
  <si>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</si>
  <si>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</si>
  <si>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</si>
  <si>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</si>
  <si>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</si>
  <si>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</si>
  <si>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</si>
  <si>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</si>
  <si>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</si>
  <si>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</si>
  <si>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</si>
  <si>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</si>
  <si>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</si>
  <si>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</si>
  <si>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</si>
  <si>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</si>
  <si>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</si>
  <si>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</si>
  <si>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</si>
  <si>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</si>
  <si>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</si>
  <si>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</si>
  <si>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</si>
  <si>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</si>
  <si>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</si>
  <si>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</si>
  <si>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</si>
  <si>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</si>
  <si>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</si>
  <si>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</si>
  <si>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</si>
  <si>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</si>
  <si>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</si>
  <si>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</si>
  <si>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</si>
  <si>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</si>
  <si>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</si>
  <si>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</si>
  <si>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</si>
  <si>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</si>
  <si>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</si>
  <si>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</si>
  <si>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</si>
  <si>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</si>
  <si>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</si>
  <si>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</si>
  <si>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</si>
  <si>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</si>
  <si>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</si>
  <si>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</si>
  <si>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</si>
  <si>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</si>
  <si>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</si>
  <si>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</si>
  <si>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</si>
  <si>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</si>
  <si>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</si>
  <si>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</si>
  <si>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</si>
  <si>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</si>
  <si>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</si>
  <si>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</si>
  <si>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</si>
  <si>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</si>
  <si>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</si>
  <si>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</si>
  <si>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</si>
  <si>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</si>
  <si>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</si>
  <si>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</si>
  <si>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</si>
  <si>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</si>
  <si>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</si>
  <si>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</si>
  <si>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</si>
  <si>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</si>
  <si>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</si>
  <si>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</si>
  <si>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</si>
  <si>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</si>
  <si>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</si>
  <si>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</si>
  <si>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</si>
  <si>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</si>
  <si>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</si>
  <si>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</si>
  <si>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</si>
  <si>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</si>
  <si>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</si>
  <si>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</si>
  <si>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</si>
  <si>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</si>
  <si>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</si>
  <si>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</si>
  <si>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</si>
  <si>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</si>
  <si>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</si>
  <si>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</si>
  <si>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</si>
  <si>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</si>
  <si>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</si>
  <si>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</si>
  <si>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</si>
  <si>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</si>
  <si>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</si>
  <si>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</si>
  <si>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</si>
  <si>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</si>
  <si>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</si>
  <si>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</si>
  <si>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</si>
  <si>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</si>
  <si>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</si>
  <si>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</si>
  <si>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</si>
  <si>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</si>
  <si>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</si>
  <si>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</si>
  <si>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</si>
  <si>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</si>
  <si>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</si>
  <si>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</si>
  <si>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</si>
  <si>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</si>
  <si>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</si>
  <si>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</si>
  <si>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</si>
  <si>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</si>
  <si>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</si>
  <si>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</si>
  <si>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</si>
  <si>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</si>
  <si>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</si>
  <si>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</si>
  <si>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</si>
  <si>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</si>
  <si>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</si>
  <si>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</si>
  <si>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</si>
  <si>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</si>
  <si>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</si>
  <si>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</si>
  <si>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</si>
  <si>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</si>
  <si>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</si>
  <si>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</si>
  <si>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</si>
  <si>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</si>
  <si>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</si>
  <si>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</si>
  <si>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</si>
  <si>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</si>
  <si>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</si>
  <si>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</si>
  <si>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</si>
  <si>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</si>
  <si>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</si>
  <si>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</si>
  <si>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</si>
  <si>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</si>
  <si>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</si>
  <si>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</si>
  <si>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</si>
  <si>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</si>
  <si>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</si>
  <si>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</si>
  <si>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</si>
  <si>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</si>
  <si>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</si>
  <si>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</si>
  <si>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</si>
  <si>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</si>
  <si>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</si>
  <si>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</si>
  <si>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</si>
  <si>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</si>
  <si>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</si>
  <si>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</si>
  <si>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</si>
  <si>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</si>
  <si>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</si>
  <si>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</si>
  <si>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</si>
  <si>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</si>
  <si>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</si>
  <si>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</si>
  <si>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</si>
  <si>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</si>
  <si>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</si>
  <si>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</si>
  <si>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</si>
  <si>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</si>
  <si>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</si>
  <si>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</si>
  <si>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</si>
  <si>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</si>
  <si>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</si>
  <si>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</si>
  <si>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</si>
  <si>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</si>
  <si>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</si>
  <si>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</si>
  <si>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</si>
  <si>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</si>
  <si>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</si>
  <si>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</si>
  <si>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</si>
  <si>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</si>
  <si>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</si>
  <si>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</si>
  <si>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</si>
  <si>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</si>
  <si>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</si>
  <si>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</si>
  <si>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</si>
  <si>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</si>
  <si>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</si>
  <si>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</si>
  <si>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</si>
  <si>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</si>
  <si>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</si>
  <si>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</si>
  <si>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</si>
  <si>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</si>
  <si>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</si>
  <si>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</si>
  <si>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</si>
  <si>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</si>
  <si>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</si>
  <si>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</si>
  <si>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</si>
  <si>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</si>
  <si>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</si>
  <si>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</si>
  <si>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</si>
  <si>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</si>
  <si>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</si>
  <si>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</si>
  <si>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</si>
  <si>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</si>
  <si>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</si>
  <si>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</si>
  <si>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</si>
  <si>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</si>
  <si>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</si>
  <si>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</si>
  <si>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</si>
  <si>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</si>
  <si>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</si>
  <si>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</si>
  <si>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</si>
  <si>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</si>
  <si>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</si>
  <si>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</si>
  <si>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</si>
  <si>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</si>
  <si>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</si>
  <si>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</si>
  <si>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</si>
  <si>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</si>
  <si>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</si>
  <si>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</si>
  <si>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</si>
  <si>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</si>
  <si>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</si>
  <si>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</si>
  <si>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</si>
  <si>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</si>
  <si>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</si>
  <si>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</si>
  <si>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</si>
  <si>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</si>
  <si>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</si>
  <si>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</si>
  <si>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</si>
  <si>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</si>
  <si>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</si>
  <si>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</si>
  <si>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</si>
  <si>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</si>
  <si>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</si>
  <si>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</si>
  <si>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</si>
  <si>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</si>
  <si>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</si>
  <si>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</si>
  <si>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</si>
  <si>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</si>
  <si>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</si>
  <si>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</si>
  <si>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</si>
  <si>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</si>
  <si>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</si>
  <si>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</si>
  <si>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</si>
  <si>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</si>
  <si>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</si>
  <si>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</si>
  <si>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</si>
  <si>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</si>
  <si>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</si>
  <si>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</si>
  <si>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</si>
  <si>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</si>
  <si>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</si>
  <si>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</si>
  <si>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</si>
  <si>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</si>
  <si>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</si>
  <si>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</si>
  <si>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</si>
  <si>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</si>
  <si>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</si>
  <si>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</si>
  <si>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</si>
  <si>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</si>
  <si>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</si>
  <si>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</si>
  <si>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</si>
  <si>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</si>
  <si>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</si>
  <si>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</si>
  <si>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</si>
  <si>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</si>
  <si>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</si>
  <si>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</si>
  <si>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</si>
  <si>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</si>
  <si>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</si>
  <si>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</si>
  <si>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</si>
  <si>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</si>
  <si>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</si>
  <si>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</si>
  <si>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</si>
  <si>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</si>
  <si>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</si>
  <si>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</si>
  <si>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</si>
  <si>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</si>
  <si>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</si>
  <si>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</si>
  <si>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</si>
  <si>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</si>
  <si>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</si>
  <si>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</si>
  <si>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</si>
  <si>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</si>
  <si>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</si>
  <si>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</si>
  <si>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</si>
  <si>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</si>
  <si>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</si>
  <si>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</si>
  <si>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</si>
  <si>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</si>
  <si>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</si>
  <si>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</si>
  <si>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</si>
  <si>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</si>
  <si>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</si>
  <si>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</si>
  <si>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</si>
  <si>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</si>
  <si>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</si>
  <si>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</si>
  <si>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</si>
  <si>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</si>
  <si>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</si>
  <si>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</si>
  <si>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</si>
  <si>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</si>
  <si>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</si>
  <si>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</si>
  <si>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</si>
  <si>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</si>
  <si>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</si>
  <si>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</si>
  <si>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</si>
  <si>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</si>
  <si>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</si>
  <si>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</si>
  <si>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</si>
  <si>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</si>
  <si>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</si>
  <si>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</si>
  <si>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</si>
  <si>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</si>
  <si>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</si>
  <si>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</si>
  <si>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</si>
  <si>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</si>
  <si>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</si>
  <si>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</si>
  <si>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</si>
  <si>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</si>
  <si>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</si>
  <si>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</si>
  <si>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</si>
  <si>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</si>
  <si>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</si>
  <si>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</si>
  <si>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</si>
  <si>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</si>
  <si>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</si>
  <si>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</si>
  <si>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</si>
  <si>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</si>
  <si>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</si>
  <si>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</si>
  <si>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</si>
  <si>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</si>
  <si>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</si>
  <si>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</si>
  <si>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</si>
  <si>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</si>
  <si>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</si>
  <si>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</si>
  <si>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</si>
  <si>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</si>
  <si>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</si>
  <si>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</si>
  <si>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</si>
  <si>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</si>
  <si>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</si>
  <si>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</si>
  <si>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</si>
  <si>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</si>
  <si>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</si>
  <si>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</si>
  <si>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</si>
  <si>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</si>
  <si>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</si>
  <si>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</si>
  <si>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</si>
  <si>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</si>
  <si>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</si>
  <si>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</si>
  <si>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</si>
  <si>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</si>
  <si>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</si>
  <si>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</si>
  <si>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</si>
  <si>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</si>
  <si>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</si>
  <si>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</si>
  <si>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</si>
  <si>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</si>
  <si>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</si>
  <si>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</si>
  <si>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</si>
  <si>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</si>
  <si>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</si>
  <si>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</si>
  <si>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</si>
  <si>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</si>
  <si>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</si>
  <si>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</si>
  <si>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</si>
  <si>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</si>
  <si>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</si>
  <si>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</si>
  <si>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</si>
  <si>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</si>
  <si>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</si>
  <si>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</si>
  <si>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</si>
  <si>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</si>
  <si>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</si>
  <si>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</si>
  <si>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</si>
  <si>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</si>
  <si>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</si>
  <si>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</si>
  <si>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</si>
  <si>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</si>
  <si>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</si>
  <si>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</si>
  <si>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</si>
  <si>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</si>
  <si>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</si>
  <si>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</si>
  <si>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</si>
  <si>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</si>
  <si>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</si>
  <si>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</si>
  <si>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</si>
  <si>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</si>
  <si>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</si>
  <si>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</si>
  <si>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</si>
  <si>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</si>
  <si>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</si>
  <si>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</si>
  <si>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</si>
  <si>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</si>
  <si>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</si>
  <si>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</si>
  <si>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</si>
  <si>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</si>
  <si>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</si>
  <si>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</si>
  <si>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</si>
  <si>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</si>
  <si>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</si>
  <si>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</si>
  <si>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</si>
  <si>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</si>
  <si>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</si>
  <si>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</si>
  <si>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</si>
  <si>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</si>
  <si>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</si>
  <si>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</si>
  <si>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</si>
  <si>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</si>
  <si>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</si>
  <si>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</si>
  <si>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</si>
  <si>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</si>
  <si>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</si>
  <si>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</si>
  <si>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</si>
  <si>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</si>
  <si>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</si>
  <si>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</si>
  <si>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</si>
  <si>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</si>
  <si>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</si>
  <si>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</si>
  <si>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</si>
  <si>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</si>
  <si>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</si>
  <si>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</si>
  <si>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</si>
  <si>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</si>
  <si>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</si>
  <si>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</si>
  <si>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</si>
  <si>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</si>
  <si>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</si>
  <si>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</si>
  <si>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</si>
  <si>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</si>
  <si>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</si>
  <si>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</si>
  <si>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</si>
  <si>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</si>
  <si>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</si>
  <si>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</si>
  <si>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</si>
  <si>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</si>
  <si>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</si>
  <si>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</si>
  <si>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</si>
  <si>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</si>
  <si>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</si>
  <si>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</si>
  <si>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</si>
  <si>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</si>
  <si>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</si>
  <si>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</si>
  <si>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</si>
  <si>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</si>
  <si>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</si>
  <si>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</si>
  <si>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</si>
  <si>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</si>
  <si>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</si>
  <si>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</si>
  <si>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</si>
  <si>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</si>
  <si>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</si>
  <si>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</si>
  <si>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</si>
  <si>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</si>
  <si>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</si>
  <si>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</si>
  <si>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</si>
  <si>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</si>
  <si>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</si>
  <si>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</si>
  <si>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</si>
  <si>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</si>
  <si>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</si>
  <si>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</si>
  <si>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</si>
  <si>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</si>
  <si>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</si>
  <si>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</si>
  <si>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</si>
  <si>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</si>
  <si>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</si>
  <si>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</si>
  <si>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</si>
  <si>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</si>
  <si>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</si>
  <si>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</si>
  <si>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</si>
  <si>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</si>
  <si>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</si>
  <si>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</si>
  <si>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</si>
  <si>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</si>
  <si>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</si>
  <si>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</si>
  <si>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</si>
  <si>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</si>
  <si>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</si>
  <si>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</si>
  <si>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</si>
  <si>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</si>
  <si>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</si>
  <si>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</si>
  <si>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</si>
  <si>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</si>
  <si>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</si>
  <si>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</si>
  <si>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</si>
  <si>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</si>
  <si>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</si>
  <si>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</si>
  <si>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</si>
  <si>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</si>
  <si>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</si>
  <si>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</si>
  <si>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</si>
  <si>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</si>
  <si>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</si>
  <si>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</si>
  <si>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</si>
  <si>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</si>
  <si>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</si>
  <si>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</si>
  <si>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</si>
  <si>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</si>
  <si>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</si>
  <si>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</si>
  <si>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</si>
  <si>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</si>
  <si>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</si>
  <si>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</si>
  <si>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</si>
  <si>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</si>
  <si>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</si>
  <si>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</si>
  <si>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</si>
  <si>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</si>
  <si>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</si>
  <si>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</si>
  <si>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</si>
  <si>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</si>
  <si>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</si>
  <si>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</si>
  <si>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</si>
  <si>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</si>
  <si>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</si>
  <si>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</si>
  <si>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</si>
  <si>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</si>
  <si>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</si>
  <si>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</si>
  <si>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</si>
  <si>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</si>
  <si>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</si>
  <si>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</si>
  <si>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</si>
  <si>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</si>
  <si>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</si>
  <si>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</si>
  <si>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</si>
  <si>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</si>
  <si>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</si>
  <si>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</si>
  <si>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</si>
  <si>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</si>
  <si>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</si>
  <si>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</si>
  <si>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</si>
  <si>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</si>
  <si>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</si>
  <si>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</si>
  <si>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</si>
  <si>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</si>
  <si>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</si>
  <si>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</si>
  <si>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</si>
  <si>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</si>
  <si>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</si>
  <si>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</si>
  <si>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</si>
  <si>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</si>
  <si>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</si>
  <si>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</si>
  <si>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</si>
  <si>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</si>
  <si>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</si>
  <si>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</si>
  <si>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</si>
  <si>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</si>
  <si>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</si>
  <si>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</si>
  <si>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</si>
  <si>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</si>
  <si>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</si>
  <si>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</si>
  <si>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</si>
  <si>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</si>
  <si>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</si>
  <si>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</si>
  <si>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</si>
  <si>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</si>
  <si>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</si>
  <si>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</si>
  <si>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</si>
  <si>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</si>
  <si>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</si>
  <si>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</si>
  <si>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</si>
  <si>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</si>
  <si>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</si>
  <si>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</si>
  <si>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</si>
  <si>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</si>
  <si>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</si>
  <si>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</si>
  <si>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</si>
  <si>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</si>
  <si>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</si>
  <si>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</si>
  <si>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</si>
  <si>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</si>
  <si>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</si>
  <si>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</si>
  <si>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</si>
  <si>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</si>
  <si>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</si>
  <si>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</si>
  <si>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</si>
  <si>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</si>
  <si>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</si>
  <si>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</si>
  <si>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</si>
  <si>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</si>
  <si>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</si>
  <si>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</si>
  <si>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</si>
  <si>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</si>
  <si>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</si>
  <si>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</si>
  <si>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</si>
  <si>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</si>
  <si>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</si>
  <si>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</si>
  <si>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</si>
  <si>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</si>
  <si>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</si>
  <si>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</si>
  <si>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</si>
  <si>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</si>
  <si>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</si>
  <si>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</si>
  <si>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</si>
  <si>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</si>
  <si>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</si>
  <si>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</si>
  <si>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</si>
  <si>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</si>
  <si>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</si>
  <si>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</si>
  <si>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</si>
  <si>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</si>
  <si>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</si>
  <si>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</si>
  <si>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</si>
  <si>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</si>
  <si>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</si>
  <si>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</si>
  <si>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</si>
  <si>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</si>
  <si>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</si>
  <si>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</si>
  <si>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</si>
  <si>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</si>
  <si>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</si>
  <si>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</si>
  <si>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</si>
  <si>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</si>
  <si>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</si>
  <si>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</si>
  <si>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</si>
  <si>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</si>
  <si>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</si>
  <si>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</si>
  <si>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</si>
  <si>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</si>
  <si>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</si>
  <si>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</si>
  <si>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</si>
  <si>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</si>
  <si>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</si>
  <si>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</si>
  <si>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</si>
  <si>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</si>
  <si>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</si>
  <si>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</si>
  <si>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</si>
  <si>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</si>
  <si>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</si>
  <si>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</si>
  <si>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</si>
  <si>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</si>
  <si>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</si>
  <si>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</si>
  <si>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</si>
  <si>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</si>
  <si>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</si>
  <si>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</si>
  <si>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</si>
  <si>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</si>
  <si>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</si>
  <si>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</si>
  <si>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</si>
  <si>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</si>
  <si>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</si>
  <si>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</si>
  <si>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</si>
  <si>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</si>
  <si>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</si>
  <si>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</si>
  <si>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</si>
  <si>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</si>
  <si>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</si>
  <si>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</si>
  <si>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</si>
  <si>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</si>
  <si>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</si>
  <si>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</si>
  <si>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</si>
  <si>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</si>
  <si>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</si>
  <si>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</si>
  <si>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</si>
  <si>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</si>
  <si>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</si>
  <si>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</si>
  <si>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</si>
  <si>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</si>
  <si>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</si>
  <si>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</si>
  <si>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</si>
  <si>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</si>
  <si>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</si>
  <si>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</si>
  <si>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</si>
  <si>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</si>
  <si>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</si>
  <si>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</si>
  <si>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</si>
  <si>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</si>
  <si>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</si>
  <si>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</si>
  <si>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</si>
  <si>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</si>
  <si>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</si>
  <si>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</si>
  <si>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</si>
  <si>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</si>
  <si>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</si>
  <si>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</si>
  <si>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</si>
  <si>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</si>
  <si>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</si>
  <si>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</si>
  <si>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</si>
  <si>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</si>
  <si>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</si>
  <si>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</si>
  <si>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</si>
  <si>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</si>
  <si>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</si>
  <si>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</si>
  <si>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</si>
  <si>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</si>
  <si>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</si>
  <si>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</si>
  <si>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</si>
  <si>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</si>
  <si>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</si>
  <si>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</si>
  <si>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</si>
  <si>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</si>
  <si>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</si>
  <si>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</si>
  <si>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</si>
  <si>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</si>
  <si>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</si>
  <si>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</si>
  <si>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</si>
  <si>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</si>
  <si>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</si>
  <si>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</si>
  <si>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</si>
  <si>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</si>
  <si>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</si>
  <si>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</si>
  <si>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</si>
  <si>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</si>
  <si>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</si>
  <si>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</si>
  <si>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</si>
  <si>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</si>
  <si>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</si>
  <si>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</si>
  <si>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</si>
  <si>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</si>
  <si>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</si>
  <si>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</si>
  <si>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</si>
  <si>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</si>
  <si>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</si>
  <si>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</si>
  <si>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</si>
  <si>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</si>
  <si>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</si>
  <si>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</si>
  <si>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</si>
  <si>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</si>
  <si>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</si>
  <si>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</si>
  <si>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</si>
  <si>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</si>
  <si>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</si>
  <si>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</si>
  <si>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</si>
  <si>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</si>
  <si>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</si>
  <si>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</si>
  <si>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</si>
  <si>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</si>
  <si>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</si>
  <si>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</si>
  <si>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</si>
  <si>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</si>
  <si>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</si>
  <si>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</si>
  <si>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</si>
  <si>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</si>
  <si>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</si>
  <si>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</si>
  <si>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</si>
  <si>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</si>
  <si>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</si>
  <si>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</si>
  <si>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</si>
  <si>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</si>
  <si>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</si>
  <si>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</si>
  <si>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</si>
  <si>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</si>
  <si>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</si>
  <si>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</si>
  <si>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</si>
  <si>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</si>
  <si>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</si>
  <si>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</si>
  <si>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</si>
  <si>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</si>
  <si>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</si>
  <si>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</si>
  <si>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</si>
  <si>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</si>
  <si>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</si>
  <si>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</si>
  <si>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</si>
  <si>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</si>
  <si>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</si>
  <si>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</si>
  <si>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</si>
  <si>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</si>
  <si>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</si>
  <si>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</si>
  <si>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</si>
  <si>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</si>
  <si>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</si>
  <si>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</si>
  <si>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</si>
  <si>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</si>
  <si>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</si>
  <si>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</si>
  <si>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</si>
  <si>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</si>
  <si>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</si>
  <si>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</si>
  <si>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</si>
  <si>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</si>
  <si>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</si>
  <si>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</si>
  <si>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</si>
  <si>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</si>
  <si>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</si>
  <si>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</si>
  <si>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</si>
  <si>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</si>
  <si>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</si>
  <si>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</si>
  <si>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</si>
  <si>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</si>
  <si>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</si>
  <si>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</si>
  <si>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</si>
  <si>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</si>
  <si>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</si>
  <si>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</si>
  <si>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</si>
  <si>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</si>
  <si>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</si>
  <si>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</si>
  <si>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</si>
  <si>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</si>
  <si>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</si>
  <si>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</si>
  <si>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</si>
  <si>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</si>
  <si>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</si>
  <si>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</si>
  <si>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</si>
  <si>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</si>
  <si>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</si>
  <si>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</si>
  <si>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</si>
  <si>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</si>
  <si>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</si>
  <si>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</si>
  <si>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</si>
  <si>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</si>
  <si>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</si>
  <si>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</si>
  <si>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</si>
  <si>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</si>
  <si>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</si>
  <si>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</si>
  <si>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</si>
  <si>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</si>
  <si>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</si>
  <si>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</si>
  <si>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</si>
  <si>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</si>
  <si>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</si>
  <si>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</si>
  <si>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</si>
  <si>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</si>
  <si>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</si>
  <si>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</si>
  <si>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</si>
  <si>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</si>
  <si>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</si>
  <si>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</si>
  <si>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</si>
  <si>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</si>
  <si>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</si>
  <si>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</si>
  <si>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</si>
  <si>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</si>
  <si>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</si>
  <si>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</si>
  <si>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</si>
  <si>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</si>
  <si>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</si>
  <si>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</si>
  <si>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</si>
  <si>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</si>
  <si>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</si>
  <si>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</si>
  <si>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</si>
  <si>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</si>
  <si>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</si>
  <si>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</si>
  <si>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</si>
  <si>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</si>
  <si>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</si>
  <si>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</si>
  <si>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</si>
  <si>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</si>
  <si>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</si>
  <si>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</si>
  <si>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</si>
  <si>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</si>
  <si>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</si>
  <si>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</si>
  <si>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</si>
  <si>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</si>
  <si>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</si>
  <si>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</si>
  <si>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</si>
  <si>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</si>
  <si>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</si>
  <si>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</si>
  <si>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</si>
  <si>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</si>
  <si>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</si>
  <si>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</si>
  <si>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</si>
  <si>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</si>
  <si>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</si>
  <si>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</si>
  <si>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</si>
  <si>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</si>
  <si>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</si>
  <si>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</si>
  <si>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</si>
  <si>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</si>
  <si>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</si>
  <si>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</si>
  <si>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</si>
  <si>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</si>
  <si>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</si>
  <si>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</si>
  <si>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</si>
  <si>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</si>
  <si>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</si>
  <si>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</si>
  <si>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</si>
  <si>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</si>
  <si>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</si>
  <si>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</si>
  <si>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</si>
  <si>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</si>
  <si>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</si>
  <si>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</si>
  <si>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</si>
  <si>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</si>
  <si>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</si>
  <si>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</si>
  <si>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</si>
  <si>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</si>
  <si>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</si>
  <si>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</si>
  <si>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</si>
  <si>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</si>
  <si>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</si>
  <si>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</si>
  <si>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</si>
  <si>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</si>
  <si>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</si>
  <si>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</si>
  <si>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</si>
  <si>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</si>
  <si>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</si>
  <si>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</si>
  <si>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</si>
  <si>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</si>
  <si>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</si>
  <si>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</si>
  <si>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</si>
  <si>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</si>
  <si>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</si>
  <si>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</si>
  <si>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</si>
  <si>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</si>
  <si>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</si>
  <si>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</si>
  <si>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</si>
  <si>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</si>
  <si>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</si>
  <si>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</si>
  <si>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</si>
  <si>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</si>
  <si>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</si>
  <si>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</si>
  <si>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</si>
  <si>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</si>
  <si>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</si>
  <si>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</si>
  <si>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</si>
  <si>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</si>
  <si>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</si>
  <si>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</si>
  <si>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</si>
  <si>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</si>
  <si>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</si>
  <si>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</si>
  <si>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</si>
  <si>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</si>
  <si>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</si>
  <si>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</si>
  <si>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</si>
  <si>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</si>
  <si>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</si>
  <si>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</si>
  <si>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</si>
  <si>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</si>
  <si>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</si>
  <si>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</si>
  <si>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</si>
  <si>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</si>
  <si>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</si>
  <si>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</si>
  <si>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</si>
  <si>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</si>
  <si>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</si>
  <si>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</si>
  <si>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</si>
  <si>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</si>
  <si>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</si>
  <si>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</si>
  <si>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</si>
  <si>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</si>
  <si>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</si>
  <si>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</si>
  <si>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</si>
  <si>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</si>
  <si>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</si>
  <si>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</si>
  <si>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</si>
  <si>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</si>
  <si>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</si>
  <si>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</si>
  <si>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</si>
  <si>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</si>
  <si>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</si>
  <si>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</si>
  <si>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</si>
  <si>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</si>
  <si>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</si>
  <si>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</si>
  <si>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</si>
  <si>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</si>
  <si>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</si>
  <si>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</si>
  <si>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</si>
  <si>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</si>
  <si>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</si>
  <si>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</si>
  <si>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</si>
  <si>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</si>
  <si>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</si>
  <si>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</si>
  <si>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</si>
  <si>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</si>
  <si>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</si>
  <si>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</si>
  <si>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</si>
  <si>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</si>
  <si>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</si>
  <si>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</si>
  <si>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</si>
  <si>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</si>
  <si>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</si>
  <si>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</si>
  <si>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</si>
  <si>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</si>
  <si>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</si>
  <si>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</si>
  <si>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</si>
  <si>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</si>
  <si>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</si>
  <si>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</si>
  <si>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</si>
  <si>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</si>
  <si>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</si>
  <si>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</si>
  <si>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</si>
  <si>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</si>
  <si>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</si>
  <si>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</si>
  <si>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</si>
  <si>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</si>
  <si>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</si>
  <si>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</si>
  <si>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</si>
  <si>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</si>
  <si>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</si>
  <si>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</si>
  <si>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</si>
  <si>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</si>
  <si>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</si>
  <si>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</si>
  <si>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</si>
  <si>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</si>
  <si>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</si>
  <si>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</si>
  <si>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</si>
  <si>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</si>
  <si>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</si>
  <si>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</si>
  <si>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</si>
  <si>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</si>
  <si>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</si>
  <si>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</si>
  <si>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</si>
  <si>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</si>
  <si>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</si>
  <si>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</si>
  <si>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</si>
  <si>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</si>
  <si>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</si>
  <si>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</si>
  <si>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</si>
  <si>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</si>
  <si>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</si>
  <si>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</si>
  <si>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</si>
  <si>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</si>
  <si>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</si>
  <si>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</si>
  <si>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</si>
  <si>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</si>
  <si>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</si>
  <si>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</si>
  <si>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</si>
  <si>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</si>
  <si>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</si>
  <si>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</si>
  <si>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</si>
  <si>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</si>
  <si>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</si>
  <si>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</si>
  <si>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</si>
  <si>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</si>
  <si>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</si>
  <si>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</si>
  <si>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</si>
  <si>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</si>
  <si>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</si>
  <si>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</si>
  <si>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</si>
  <si>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</si>
  <si>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</si>
  <si>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</si>
  <si>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</si>
  <si>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</si>
  <si>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</si>
  <si>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</si>
  <si>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</si>
  <si>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</si>
  <si>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</si>
  <si>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</si>
  <si>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</si>
  <si>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</si>
  <si>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</si>
  <si>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</si>
  <si>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</si>
  <si>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</si>
  <si>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</si>
  <si>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</si>
  <si>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</si>
  <si>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</si>
  <si>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</si>
  <si>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</si>
  <si>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</si>
  <si>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</si>
  <si>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</si>
  <si>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</si>
  <si>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</si>
  <si>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</si>
  <si>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</si>
  <si>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</si>
  <si>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</si>
  <si>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</si>
  <si>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</si>
  <si>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</si>
  <si>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</si>
  <si>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</si>
  <si>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</si>
  <si>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</si>
  <si>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</si>
  <si>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</si>
  <si>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</si>
  <si>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</si>
  <si>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</si>
  <si>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</si>
  <si>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</si>
  <si>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</si>
  <si>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</si>
  <si>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</si>
  <si>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</si>
  <si>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</si>
  <si>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</si>
  <si>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</si>
  <si>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</si>
  <si>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</si>
  <si>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</si>
  <si>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</si>
  <si>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</si>
  <si>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</si>
  <si>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</si>
  <si>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</si>
  <si>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</si>
  <si>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</si>
  <si>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</si>
  <si>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</si>
  <si>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</si>
  <si>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</si>
  <si>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</si>
  <si>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</si>
  <si>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</si>
  <si>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</si>
  <si>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</si>
  <si>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</si>
  <si>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</si>
  <si>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</si>
  <si>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</si>
  <si>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</si>
  <si>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</si>
  <si>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</si>
  <si>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</si>
  <si>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</si>
  <si>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</si>
  <si>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</si>
  <si>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</si>
  <si>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</si>
  <si>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</si>
  <si>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</si>
  <si>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</si>
  <si>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</si>
  <si>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</si>
  <si>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</si>
  <si>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</si>
  <si>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</si>
  <si>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</si>
  <si>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</si>
  <si>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</si>
  <si>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</si>
  <si>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</si>
  <si>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</si>
  <si>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</si>
  <si>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</si>
  <si>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</si>
  <si>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</si>
  <si>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</si>
  <si>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</si>
  <si>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</si>
  <si>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</si>
  <si>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</si>
  <si>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</si>
  <si>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</si>
  <si>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</si>
  <si>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</si>
  <si>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</si>
  <si>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</si>
  <si>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</si>
  <si>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</si>
  <si>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</si>
  <si>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</si>
  <si>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</si>
  <si>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</si>
  <si>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</si>
  <si>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</si>
  <si>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</si>
  <si>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</si>
  <si>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</si>
  <si>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</si>
  <si>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</si>
  <si>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</si>
  <si>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</si>
  <si>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</si>
  <si>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</si>
  <si>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</si>
  <si>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</si>
  <si>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</si>
  <si>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</si>
  <si>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</si>
  <si>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</si>
  <si>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</si>
  <si>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</si>
  <si>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</si>
  <si>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</si>
  <si>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</si>
  <si>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</si>
  <si>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</si>
  <si>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</si>
  <si>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</si>
  <si>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</si>
  <si>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</si>
  <si>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</si>
  <si>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</si>
  <si>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</si>
  <si>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</si>
  <si>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</si>
  <si>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</si>
  <si>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</si>
  <si>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</si>
  <si>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</si>
  <si>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</si>
  <si>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</si>
  <si>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</si>
  <si>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</si>
  <si>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</si>
  <si>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</si>
  <si>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</si>
  <si>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</si>
  <si>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</si>
  <si>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</si>
  <si>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</si>
  <si>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</si>
  <si>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</si>
  <si>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</si>
  <si>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</si>
  <si>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</si>
  <si>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</si>
  <si>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</si>
  <si>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</si>
  <si>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</si>
  <si>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</si>
  <si>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</si>
  <si>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</si>
  <si>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</si>
  <si>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</si>
  <si>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</si>
  <si>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</si>
  <si>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</si>
  <si>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</si>
  <si>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</si>
  <si>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</si>
  <si>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</si>
  <si>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</si>
  <si>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</si>
  <si>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</si>
  <si>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</si>
  <si>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</si>
  <si>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</si>
  <si>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</si>
  <si>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</si>
  <si>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</si>
  <si>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</si>
  <si>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</si>
  <si>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</si>
  <si>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</si>
  <si>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</si>
  <si>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</si>
  <si>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</si>
  <si>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</si>
  <si>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</si>
  <si>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</si>
  <si>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</si>
  <si>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</si>
  <si>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</si>
  <si>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</si>
  <si>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</si>
  <si>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</si>
  <si>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</si>
  <si>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</si>
  <si>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</si>
  <si>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</si>
  <si>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</si>
  <si>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</si>
  <si>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</si>
  <si>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</si>
  <si>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</si>
  <si>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</si>
  <si>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</si>
  <si>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</si>
  <si>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</si>
  <si>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</si>
  <si>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</si>
  <si>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</si>
  <si>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</si>
  <si>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</si>
  <si>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</si>
  <si>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</si>
  <si>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</si>
  <si>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</si>
  <si>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</si>
  <si>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</si>
  <si>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</si>
  <si>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</si>
  <si>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</si>
  <si>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</si>
  <si>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</si>
  <si>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</si>
  <si>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</si>
  <si>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</si>
  <si>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</si>
  <si>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</si>
  <si>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</si>
  <si>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</si>
  <si>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</si>
  <si>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</si>
  <si>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</si>
  <si>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</si>
  <si>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</si>
  <si>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</si>
  <si>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</si>
  <si>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</si>
  <si>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</si>
  <si>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</si>
  <si>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</si>
  <si>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</si>
  <si>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</si>
  <si>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</si>
  <si>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</si>
  <si>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</si>
  <si>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</si>
  <si>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</si>
  <si>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</si>
  <si>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</si>
  <si>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</si>
  <si>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</si>
  <si>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</si>
  <si>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</si>
  <si>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</si>
  <si>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</si>
  <si>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</si>
  <si>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</si>
  <si>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</si>
  <si>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</si>
  <si>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</si>
  <si>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</si>
  <si>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</si>
  <si>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</si>
  <si>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</si>
  <si>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</si>
  <si>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</si>
  <si>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</si>
  <si>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</si>
  <si>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</si>
  <si>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</si>
  <si>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</si>
  <si>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</si>
  <si>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</si>
  <si>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</si>
  <si>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</si>
  <si>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</si>
  <si>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</si>
  <si>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</si>
  <si>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</si>
  <si>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</si>
  <si>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</si>
  <si>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</si>
  <si>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</si>
  <si>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</si>
  <si>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</si>
  <si>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</si>
  <si>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</si>
  <si>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</si>
  <si>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</si>
  <si>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</si>
  <si>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</si>
  <si>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</si>
  <si>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</si>
  <si>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</si>
  <si>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</si>
  <si>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</si>
  <si>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</si>
  <si>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</si>
  <si>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</si>
  <si>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</si>
  <si>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</si>
  <si>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</si>
  <si>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</si>
  <si>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</si>
  <si>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</si>
  <si>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</si>
  <si>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</si>
  <si>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</si>
  <si>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</si>
  <si>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</si>
  <si>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</si>
  <si>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</si>
  <si>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</si>
  <si>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</si>
  <si>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</si>
  <si>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</si>
  <si>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</si>
  <si>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</si>
  <si>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</si>
  <si>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</si>
  <si>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</si>
  <si>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</si>
  <si>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</si>
  <si>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</si>
  <si>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</si>
  <si>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</si>
  <si>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</si>
  <si>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</si>
  <si>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</si>
  <si>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</si>
  <si>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</si>
  <si>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</si>
  <si>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</si>
  <si>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</si>
  <si>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</si>
  <si>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</si>
  <si>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</si>
  <si>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</si>
  <si>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</si>
  <si>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</si>
  <si>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</si>
  <si>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</si>
  <si>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</si>
  <si>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</si>
  <si>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</si>
  <si>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</si>
  <si>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</si>
  <si>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</si>
  <si>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</si>
  <si>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</si>
  <si>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</si>
  <si>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</si>
  <si>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</si>
  <si>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</si>
  <si>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</si>
  <si>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</si>
  <si>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</si>
  <si>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</si>
  <si>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</si>
  <si>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</si>
  <si>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</si>
  <si>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</si>
  <si>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</si>
  <si>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</si>
  <si>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</si>
  <si>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</si>
  <si>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</si>
  <si>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</si>
  <si>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</si>
  <si>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</si>
  <si>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</si>
  <si>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</si>
  <si>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</si>
  <si>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</si>
  <si>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</si>
  <si>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</si>
  <si>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</si>
  <si>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</si>
  <si>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</si>
  <si>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</si>
  <si>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</si>
  <si>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</si>
  <si>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</si>
  <si>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</si>
  <si>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</si>
  <si>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</si>
  <si>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</si>
  <si>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</si>
  <si>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</si>
  <si>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</si>
  <si>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</si>
  <si>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</si>
  <si>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</si>
  <si>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</si>
  <si>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</si>
  <si>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</si>
  <si>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</si>
  <si>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</si>
  <si>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</si>
  <si>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</si>
  <si>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</si>
  <si>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</si>
  <si>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</si>
  <si>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</si>
  <si>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</si>
  <si>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</si>
  <si>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</si>
  <si>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</si>
  <si>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</si>
  <si>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</si>
  <si>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</si>
  <si>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</si>
  <si>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</si>
  <si>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</si>
  <si>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</si>
  <si>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</si>
  <si>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</si>
  <si>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</si>
  <si>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</si>
  <si>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</si>
  <si>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</si>
  <si>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</si>
  <si>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</si>
  <si>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</si>
  <si>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</si>
  <si>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</si>
  <si>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</si>
  <si>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</si>
  <si>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</si>
  <si>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</si>
  <si>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</si>
  <si>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</si>
  <si>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</si>
  <si>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</si>
  <si>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</si>
  <si>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</si>
  <si>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</si>
  <si>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</si>
  <si>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</si>
  <si>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</si>
  <si>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</si>
  <si>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</si>
  <si>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</si>
  <si>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</si>
  <si>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</si>
  <si>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</si>
  <si>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</si>
  <si>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</si>
  <si>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</si>
  <si>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</si>
  <si>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</si>
  <si>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</si>
  <si>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</si>
  <si>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</si>
  <si>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</si>
  <si>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</si>
  <si>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</si>
  <si>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</si>
  <si>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</si>
  <si>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</si>
  <si>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</si>
  <si>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</si>
  <si>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</si>
  <si>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</si>
  <si>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</si>
  <si>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</si>
  <si>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</si>
  <si>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</si>
  <si>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</si>
  <si>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</si>
  <si>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</si>
  <si>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</si>
  <si>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</si>
  <si>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</si>
  <si>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</si>
  <si>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</si>
  <si>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</si>
  <si>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</si>
  <si>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</si>
  <si>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</si>
  <si>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</si>
  <si>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</si>
  <si>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</si>
  <si>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</si>
  <si>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</si>
  <si>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</si>
  <si>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</si>
  <si>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</si>
  <si>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</si>
  <si>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</si>
  <si>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</si>
  <si>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</si>
  <si>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</si>
  <si>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</si>
  <si>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</si>
  <si>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</si>
  <si>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</si>
  <si>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</si>
  <si>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</si>
  <si>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</si>
  <si>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</si>
  <si>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</si>
  <si>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</si>
  <si>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</si>
  <si>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</si>
  <si>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</si>
  <si>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</si>
  <si>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</si>
  <si>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</si>
  <si>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</si>
  <si>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</si>
  <si>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</si>
  <si>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</si>
  <si>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</si>
  <si>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</si>
  <si>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</si>
  <si>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</si>
  <si>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</si>
  <si>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</si>
  <si>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</si>
  <si>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</si>
  <si>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</si>
  <si>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</si>
  <si>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</si>
  <si>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</si>
  <si>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</si>
  <si>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</si>
  <si>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</si>
  <si>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</si>
  <si>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</si>
  <si>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</si>
  <si>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</si>
  <si>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</si>
  <si>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</si>
  <si>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</si>
  <si>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</si>
  <si>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</si>
  <si>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</si>
  <si>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</si>
  <si>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</si>
  <si>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</si>
  <si>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</si>
  <si>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</si>
  <si>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</si>
  <si>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</si>
  <si>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</si>
  <si>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</si>
  <si>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</si>
  <si>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</si>
  <si>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</si>
  <si>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</si>
  <si>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</si>
  <si>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</si>
  <si>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</si>
  <si>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</si>
  <si>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</si>
  <si>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</si>
  <si>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</si>
  <si>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</si>
  <si>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</si>
  <si>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</si>
  <si>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</si>
  <si>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</si>
  <si>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</si>
  <si>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</si>
  <si>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</si>
  <si>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</si>
  <si>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</si>
  <si>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</si>
  <si>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</si>
  <si>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</si>
  <si>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</si>
  <si>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</si>
  <si>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</si>
  <si>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</si>
  <si>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</si>
  <si>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</si>
  <si>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</si>
  <si>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</si>
  <si>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</si>
  <si>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</si>
  <si>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</si>
  <si>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</si>
  <si>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</si>
  <si>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</si>
  <si>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</si>
  <si>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</si>
  <si>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</si>
  <si>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</si>
  <si>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</si>
  <si>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</si>
  <si>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</si>
  <si>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</si>
  <si>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</si>
  <si>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</si>
  <si>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</si>
  <si>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</si>
  <si>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</si>
  <si>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</si>
  <si>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</si>
  <si>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</si>
  <si>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</si>
  <si>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</si>
  <si>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</si>
  <si>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</si>
  <si>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</si>
  <si>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</si>
  <si>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</si>
  <si>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</si>
  <si>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</si>
  <si>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</si>
  <si>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</si>
  <si>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</si>
  <si>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</si>
  <si>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</si>
  <si>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</si>
  <si>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</si>
  <si>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</si>
  <si>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</si>
  <si>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</si>
  <si>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</si>
  <si>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</si>
  <si>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</si>
  <si>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</si>
  <si>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</si>
  <si>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</si>
  <si>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</si>
  <si>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</si>
  <si>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</si>
  <si>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</si>
  <si>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</si>
  <si>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</si>
  <si>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</si>
  <si>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</si>
  <si>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</si>
  <si>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</si>
  <si>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</si>
  <si>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</si>
  <si>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</si>
  <si>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</si>
  <si>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</si>
  <si>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</si>
  <si>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</si>
  <si>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</si>
  <si>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</si>
  <si>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</si>
  <si>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</si>
  <si>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</si>
  <si>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</si>
  <si>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</si>
  <si>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</si>
  <si>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</si>
  <si>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</si>
  <si>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</si>
  <si>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</si>
  <si>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</si>
  <si>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</si>
  <si>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</si>
  <si>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</si>
  <si>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</si>
  <si>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</si>
  <si>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</si>
  <si>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</si>
  <si>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</si>
  <si>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</si>
  <si>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</si>
  <si>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</si>
  <si>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</si>
  <si>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</si>
  <si>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</si>
  <si>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</si>
  <si>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</si>
  <si>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</si>
  <si>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</si>
  <si>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</si>
  <si>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</si>
  <si>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</si>
  <si>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</si>
  <si>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</si>
  <si>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</si>
  <si>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</si>
  <si>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</si>
  <si>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</si>
  <si>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</si>
  <si>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</si>
  <si>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</si>
  <si>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</si>
  <si>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</si>
  <si>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</si>
  <si>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</si>
  <si>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</si>
  <si>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</si>
  <si>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</si>
  <si>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</si>
  <si>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</si>
  <si>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</si>
  <si>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</si>
  <si>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</si>
  <si>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</si>
  <si>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</si>
  <si>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</si>
  <si>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</si>
  <si>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</si>
  <si>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</si>
  <si>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</si>
  <si>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</si>
  <si>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</si>
  <si>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</si>
  <si>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</si>
  <si>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</si>
  <si>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</si>
  <si>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</si>
  <si>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</si>
  <si>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</si>
  <si>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</si>
  <si>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</si>
  <si>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</si>
  <si>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</si>
  <si>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</si>
  <si>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</si>
  <si>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</si>
  <si>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</si>
  <si>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</si>
  <si>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</si>
  <si>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</si>
  <si>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</si>
  <si>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</si>
  <si>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</si>
  <si>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</si>
  <si>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</si>
  <si>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</si>
  <si>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</si>
  <si>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</si>
  <si>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Resouces:</t>
  </si>
  <si>
    <t>Excel Dashboard Tutorial Video</t>
  </si>
  <si>
    <t>Adv. Excel Dashboards Course by Chandoo</t>
  </si>
  <si>
    <t>You will get the full workbook in the course!</t>
  </si>
  <si>
    <t>Count of TX ID</t>
  </si>
  <si>
    <t>Sum of Quantity</t>
  </si>
  <si>
    <t>Sum of Amount</t>
  </si>
  <si>
    <t>Average of Rating C</t>
  </si>
  <si>
    <t>Average of Days to Deliver</t>
  </si>
  <si>
    <t>Value  for display</t>
  </si>
  <si>
    <t>Avg.Rating</t>
  </si>
  <si>
    <t>Avg.Days</t>
  </si>
  <si>
    <t>Row Labels</t>
  </si>
  <si>
    <t>Grand Total</t>
  </si>
  <si>
    <t>Column Labels</t>
  </si>
  <si>
    <t>Female</t>
  </si>
  <si>
    <t>Male</t>
  </si>
  <si>
    <t>Other</t>
  </si>
  <si>
    <t>Unknown</t>
  </si>
  <si>
    <t>For Matrix</t>
  </si>
  <si>
    <t>Group1</t>
  </si>
  <si>
    <t>Group2</t>
  </si>
  <si>
    <t>California Total</t>
  </si>
  <si>
    <t>Map chart stuff (Qty)</t>
  </si>
  <si>
    <t>Map chart for Amount</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</si>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</sst>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4">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s>
  <fills count="8">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0" borderId="0" xfId="0" applyBorder="1"/>
    <xf numFmtId="165" fontId="0" fillId="0" borderId="0" xfId="0" applyNumberFormat="1" applyBorder="1"/>
  </cellXfs>
  <cellStyles count="2">
    <cellStyle name="Hyperlink" xfId="1" builtinId="8"/>
    <cellStyle name="Normal" xfId="0" builtinId="0"/>
  </cellStyles>
  <dxfs count="5">
    <dxf>
      <numFmt numFmtId="0" formatCode="General"/>
    </dxf>
    <dxf>
      <numFmt numFmtId="0" formatCode="General"/>
    </dxf>
    <dxf>
      <numFmt numFmtId="0" formatCode="General"/>
    </dxf>
    <dxf>
      <numFmt numFmtId="20" formatCode="d\-mmm\-yy"/>
    </dxf>
    <dxf>
      <numFmt numFmtId="20" formatCode="d\-mmm\-yy"/>
    </dxf>
  </dxfs>
  <tableStyles count="0" defaultTableStyle="TableStyleMedium2" defaultPivotStyle="PivotStyleLight16"/>
  <colors>
    <mruColors>
      <color rgb="FF091F3F"/>
      <color rgb="FF66FF99"/>
      <color rgb="FF307442"/>
      <color rgb="FF3B423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 Id="rId4" Type="http://schemas.openxmlformats.org/officeDocument/2006/relationships/chartUserShapes" Target="../drawings/drawing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[ecommerce-Vivo califa.xlsx]Question 3!PivotTqn3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3'!$B$3</c:f>
              <c:strCache>
                <c:ptCount val="1"/>
                <c:pt idx="0">
                  <c:v>Total</c:v>
                </c:pt>
              </c:strCache>
            </c:strRef>
          </c:tx>
          <c:spPr>
            <a:solidFill>
              <a:schemeClr val="tx2">
                <a:lumMod val="75000"/>
                <a:lumOff val="25000"/>
              </a:schemeClr>
            </a:solidFill>
            <a:ln>
              <a:noFill/>
            </a:ln>
            <a:effectLst/>
          </c:spPr>
          <c:invertIfNegative val="0"/>
          <c:cat>
            <c:strRef>
              <c:f>'Question 3'!$A$4:$A$11</c:f>
              <c:strCache>
                <c:ptCount val="7"/>
                <c:pt idx="0">
                  <c:v>1</c:v>
                </c:pt>
                <c:pt idx="1">
                  <c:v>2</c:v>
                </c:pt>
                <c:pt idx="2">
                  <c:v>3</c:v>
                </c:pt>
                <c:pt idx="3">
                  <c:v>4</c:v>
                </c:pt>
                <c:pt idx="4">
                  <c:v>5</c:v>
                </c:pt>
                <c:pt idx="5">
                  <c:v>Group1</c:v>
                </c:pt>
                <c:pt idx="6">
                  <c:v>Group2</c:v>
                </c:pt>
              </c:strCache>
            </c:strRef>
          </c:cat>
          <c:val>
            <c:numRef>
              <c:f>'Question 3'!$B$4:$B$11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2B6A-4F23-AB04-8AFBB7083505}"/>
            </c:ext>
          </c:extLst>
        </c:ser>
        <c:dLbls>
          <c:showLegendKey val="0"/>
          <c:showVal val="0"/>
          <c:showCatName val="0"/>
          <c:showSerName val="0"/>
          <c:showPercent val="0"/>
          <c:showBubbleSize val="0"/>
        </c:dLbls>
        <c:gapWidth val="219"/>
        <c:overlap val="-27"/>
        <c:axId val="57881616"/>
        <c:axId val="57885776"/>
      </c:barChart>
      <c:catAx>
        <c:axId val="5788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85776"/>
        <c:crosses val="autoZero"/>
        <c:auto val="1"/>
        <c:lblAlgn val="ctr"/>
        <c:lblOffset val="100"/>
        <c:noMultiLvlLbl val="0"/>
      </c:catAx>
      <c:valAx>
        <c:axId val="5788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8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[ecommerce-Vivo califa.xlsx]Question 4 and 5!Pivotqn 4&amp;5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w="19050">
            <a:solidFill>
              <a:schemeClr val="lt1"/>
            </a:solidFill>
          </a:ln>
          <a:effectLst/>
        </c:spPr>
      </c:pivotFmt>
      <c:pivotFmt>
        <c:idx val="2"/>
        <c:spPr>
          <a:solidFill>
            <a:schemeClr val="tx2">
              <a:lumMod val="50000"/>
              <a:lumOff val="50000"/>
            </a:schemeClr>
          </a:solidFill>
          <a:ln w="19050">
            <a:solidFill>
              <a:schemeClr val="lt1"/>
            </a:solidFill>
          </a:ln>
          <a:effectLst/>
        </c:spPr>
      </c:pivotFmt>
      <c:pivotFmt>
        <c:idx val="3"/>
        <c:spPr>
          <a:solidFill>
            <a:srgbClr val="00B050"/>
          </a:solidFill>
          <a:ln w="19050">
            <a:solidFill>
              <a:schemeClr val="lt1"/>
            </a:solidFill>
          </a:ln>
          <a:effectLst/>
        </c:spPr>
      </c:pivotFmt>
    </c:pivotFmts>
    <c:plotArea>
      <c:layout/>
      <c:doughnutChart>
        <c:varyColors val="1"/>
        <c:ser>
          <c:idx val="0"/>
          <c:order val="0"/>
          <c:tx>
            <c:strRef>
              <c:f>'Question 4 and 5'!$J$3</c:f>
              <c:strCache>
                <c:ptCount val="1"/>
                <c:pt idx="0">
                  <c:v>Total</c:v>
                </c:pt>
              </c:strCache>
            </c:strRef>
          </c:tx>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2-C874-4B1E-8C53-D67AF36BB9F7}"/>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C874-4B1E-8C53-D67AF36BB9F7}"/>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C874-4B1E-8C53-D67AF36BB9F7}"/>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4-C874-4B1E-8C53-D67AF36BB9F7}"/>
              </c:ext>
            </c:extLst>
          </c:dPt>
          <c:cat>
            <c:strRef>
              <c:f>'Question 4 and 5'!$I$4:$I$8</c:f>
              <c:strCache>
                <c:ptCount val="4"/>
                <c:pt idx="0">
                  <c:v>Female</c:v>
                </c:pt>
                <c:pt idx="1">
                  <c:v>Male</c:v>
                </c:pt>
                <c:pt idx="2">
                  <c:v>Other</c:v>
                </c:pt>
                <c:pt idx="3">
                  <c:v>Unknown</c:v>
                </c:pt>
              </c:strCache>
            </c:strRef>
          </c:cat>
          <c:val>
            <c:numRef>
              <c:f>'Question 4 and 5'!$J$4:$J$8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0-C874-4B1E-8C53-D67AF36BB9F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[ecommerce-Vivo califa.xlsx]Question 7!PivotTqn 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91426071741031"/>
          <c:y val="0.24476633129192185"/>
          <c:w val="0.76112270341207344"/>
          <c:h val="0.53774387576552929"/>
        </c:manualLayout>
      </c:layout>
      <c:barChart>
        <c:barDir val="col"/>
        <c:grouping val="clustered"/>
        <c:varyColors val="0"/>
        <c:ser>
          <c:idx val="0"/>
          <c:order val="0"/>
          <c:tx>
            <c:strRef>
              <c:f>'Question 7'!$B$3</c:f>
              <c:strCache>
                <c:ptCount val="1"/>
                <c:pt idx="0">
                  <c:v>Total</c:v>
                </c:pt>
              </c:strCache>
            </c:strRef>
          </c:tx>
          <c:spPr>
            <a:solidFill>
              <a:schemeClr val="tx2">
                <a:lumMod val="75000"/>
                <a:lumOff val="25000"/>
              </a:schemeClr>
            </a:solidFill>
            <a:ln>
              <a:noFill/>
            </a:ln>
            <a:effectLst/>
          </c:spPr>
          <c:invertIfNegative val="0"/>
          <c:cat>
            <c:strRef>
              <c:f>'Question 7'!$A$4:$A$19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'Question 7'!$B$4:$B$19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E345-434D-B55B-09D6ADA9BC14}"/>
            </c:ext>
          </c:extLst>
        </c:ser>
        <c:dLbls>
          <c:showLegendKey val="0"/>
          <c:showVal val="0"/>
          <c:showCatName val="0"/>
          <c:showSerName val="0"/>
          <c:showPercent val="0"/>
          <c:showBubbleSize val="0"/>
        </c:dLbls>
        <c:gapWidth val="29"/>
        <c:overlap val="-27"/>
        <c:axId val="1597614720"/>
        <c:axId val="1597620544"/>
      </c:barChart>
      <c:catAx>
        <c:axId val="159761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620544"/>
        <c:crosses val="autoZero"/>
        <c:auto val="1"/>
        <c:lblAlgn val="ctr"/>
        <c:lblOffset val="100"/>
        <c:noMultiLvlLbl val="0"/>
      </c:catAx>
      <c:valAx>
        <c:axId val="159762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61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[ecommerce-Vivo califa.xlsx]Question 8!PivotTqn 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8'!$B$3:$B$4</c:f>
              <c:strCache>
                <c:ptCount val="1"/>
                <c:pt idx="0">
                  <c:v>1</c:v>
                </c:pt>
              </c:strCache>
            </c:strRef>
          </c:tx>
          <c:spPr>
            <a:solidFill>
              <a:schemeClr val="accent1"/>
            </a:solidFill>
            <a:ln>
              <a:noFill/>
            </a:ln>
            <a:effectLst/>
          </c:spPr>
          <c:invertIfNegative val="0"/>
          <c:cat>
            <c:strRef>
              <c:f>'Question 8'!$A$5:$A$8</c:f>
              <c:strCache>
                <c:ptCount val="3"/>
                <c:pt idx="0">
                  <c:v>Jan</c:v>
                </c:pt>
                <c:pt idx="1">
                  <c:v>Feb</c:v>
                </c:pt>
                <c:pt idx="2">
                  <c:v>Mar</c:v>
                </c:pt>
              </c:strCache>
            </c:strRef>
          </c:cat>
          <c:val>
            <c:numRef>
              <c:f>'Question 8'!$B$5:$B$8</c:f>
              <c:numCache>
                <c:formatCode>General</c:formatCode>
                <c:ptCount val="3"/>
                <c:pt idx="0">
                  <c:v>7</c:v>
                </c:pt>
                <c:pt idx="1">
                  <c:v>8</c:v>
                </c:pt>
                <c:pt idx="2">
                  <c:v>6</c:v>
                </c:pt>
              </c:numCache>
            </c:numRef>
          </c:val>
          <c:extLst>
            <c:ext xmlns:c16="http://schemas.microsoft.com/office/drawing/2014/chart" uri="{C3380CC4-5D6E-409C-BE32-E72D297353CC}">
              <c16:uniqueId val="{00000000-FF4F-48A5-AF55-F897C132B6EB}"/>
            </c:ext>
          </c:extLst>
        </c:ser>
        <c:ser>
          <c:idx val="1"/>
          <c:order val="1"/>
          <c:tx>
            <c:strRef>
              <c:f>'Question 8'!$C$3:$C$4</c:f>
              <c:strCache>
                <c:ptCount val="1"/>
                <c:pt idx="0">
                  <c:v>2</c:v>
                </c:pt>
              </c:strCache>
            </c:strRef>
          </c:tx>
          <c:spPr>
            <a:solidFill>
              <a:srgbClr val="FF0000"/>
            </a:solidFill>
            <a:ln>
              <a:noFill/>
            </a:ln>
            <a:effectLst/>
          </c:spPr>
          <c:invertIfNegative val="0"/>
          <c:cat>
            <c:strRef>
              <c:f>'Question 8'!$A$5:$A$8</c:f>
              <c:strCache>
                <c:ptCount val="3"/>
                <c:pt idx="0">
                  <c:v>Jan</c:v>
                </c:pt>
                <c:pt idx="1">
                  <c:v>Feb</c:v>
                </c:pt>
                <c:pt idx="2">
                  <c:v>Mar</c:v>
                </c:pt>
              </c:strCache>
            </c:strRef>
          </c:cat>
          <c:val>
            <c:numRef>
              <c:f>'Question 8'!$C$5:$C$8</c:f>
              <c:numCache>
                <c:formatCode>General</c:formatCode>
                <c:ptCount val="3"/>
                <c:pt idx="0">
                  <c:v>37</c:v>
                </c:pt>
                <c:pt idx="1">
                  <c:v>51</c:v>
                </c:pt>
                <c:pt idx="2">
                  <c:v>39</c:v>
                </c:pt>
              </c:numCache>
            </c:numRef>
          </c:val>
          <c:extLst>
            <c:ext xmlns:c16="http://schemas.microsoft.com/office/drawing/2014/chart" uri="{C3380CC4-5D6E-409C-BE32-E72D297353CC}">
              <c16:uniqueId val="{00000001-FF4F-48A5-AF55-F897C132B6EB}"/>
            </c:ext>
          </c:extLst>
        </c:ser>
        <c:ser>
          <c:idx val="2"/>
          <c:order val="2"/>
          <c:tx>
            <c:strRef>
              <c:f>'Question 8'!$D$3:$D$4</c:f>
              <c:strCache>
                <c:ptCount val="1"/>
                <c:pt idx="0">
                  <c:v>3</c:v>
                </c:pt>
              </c:strCache>
            </c:strRef>
          </c:tx>
          <c:spPr>
            <a:solidFill>
              <a:srgbClr val="7030A0"/>
            </a:solidFill>
            <a:ln>
              <a:noFill/>
            </a:ln>
            <a:effectLst/>
          </c:spPr>
          <c:invertIfNegative val="0"/>
          <c:cat>
            <c:strRef>
              <c:f>'Question 8'!$A$5:$A$8</c:f>
              <c:strCache>
                <c:ptCount val="3"/>
                <c:pt idx="0">
                  <c:v>Jan</c:v>
                </c:pt>
                <c:pt idx="1">
                  <c:v>Feb</c:v>
                </c:pt>
                <c:pt idx="2">
                  <c:v>Mar</c:v>
                </c:pt>
              </c:strCache>
            </c:strRef>
          </c:cat>
          <c:val>
            <c:numRef>
              <c:f>'Question 8'!$D$5:$D$8</c:f>
              <c:numCache>
                <c:formatCode>General</c:formatCode>
                <c:ptCount val="3"/>
                <c:pt idx="0">
                  <c:v>150</c:v>
                </c:pt>
                <c:pt idx="1">
                  <c:v>182</c:v>
                </c:pt>
                <c:pt idx="2">
                  <c:v>163</c:v>
                </c:pt>
              </c:numCache>
            </c:numRef>
          </c:val>
          <c:extLst>
            <c:ext xmlns:c16="http://schemas.microsoft.com/office/drawing/2014/chart" uri="{C3380CC4-5D6E-409C-BE32-E72D297353CC}">
              <c16:uniqueId val="{00000002-FF4F-48A5-AF55-F897C132B6EB}"/>
            </c:ext>
          </c:extLst>
        </c:ser>
        <c:ser>
          <c:idx val="3"/>
          <c:order val="3"/>
          <c:tx>
            <c:strRef>
              <c:f>'Question 8'!$E$3:$E$4</c:f>
              <c:strCache>
                <c:ptCount val="1"/>
                <c:pt idx="0">
                  <c:v>4</c:v>
                </c:pt>
              </c:strCache>
            </c:strRef>
          </c:tx>
          <c:spPr>
            <a:solidFill>
              <a:schemeClr val="tx2">
                <a:lumMod val="90000"/>
                <a:lumOff val="10000"/>
              </a:schemeClr>
            </a:solidFill>
            <a:ln>
              <a:noFill/>
            </a:ln>
            <a:effectLst/>
          </c:spPr>
          <c:invertIfNegative val="0"/>
          <c:cat>
            <c:strRef>
              <c:f>'Question 8'!$A$5:$A$8</c:f>
              <c:strCache>
                <c:ptCount val="3"/>
                <c:pt idx="0">
                  <c:v>Jan</c:v>
                </c:pt>
                <c:pt idx="1">
                  <c:v>Feb</c:v>
                </c:pt>
                <c:pt idx="2">
                  <c:v>Mar</c:v>
                </c:pt>
              </c:strCache>
            </c:strRef>
          </c:cat>
          <c:val>
            <c:numRef>
              <c:f>'Question 8'!$E$5:$E$8</c:f>
              <c:numCache>
                <c:formatCode>General</c:formatCode>
                <c:ptCount val="3"/>
                <c:pt idx="0">
                  <c:v>312</c:v>
                </c:pt>
                <c:pt idx="1">
                  <c:v>373</c:v>
                </c:pt>
                <c:pt idx="2">
                  <c:v>351</c:v>
                </c:pt>
              </c:numCache>
            </c:numRef>
          </c:val>
          <c:extLst>
            <c:ext xmlns:c16="http://schemas.microsoft.com/office/drawing/2014/chart" uri="{C3380CC4-5D6E-409C-BE32-E72D297353CC}">
              <c16:uniqueId val="{00000004-FF4F-48A5-AF55-F897C132B6EB}"/>
            </c:ext>
          </c:extLst>
        </c:ser>
        <c:ser>
          <c:idx val="4"/>
          <c:order val="4"/>
          <c:tx>
            <c:strRef>
              <c:f>'Question 8'!$F$3:$F$4</c:f>
              <c:strCache>
                <c:ptCount val="1"/>
                <c:pt idx="0">
                  <c:v>5</c:v>
                </c:pt>
              </c:strCache>
            </c:strRef>
          </c:tx>
          <c:spPr>
            <a:solidFill>
              <a:srgbClr val="00B0F0"/>
            </a:solidFill>
            <a:ln>
              <a:noFill/>
            </a:ln>
            <a:effectLst/>
          </c:spPr>
          <c:invertIfNegative val="0"/>
          <c:cat>
            <c:strRef>
              <c:f>'Question 8'!$A$5:$A$8</c:f>
              <c:strCache>
                <c:ptCount val="3"/>
                <c:pt idx="0">
                  <c:v>Jan</c:v>
                </c:pt>
                <c:pt idx="1">
                  <c:v>Feb</c:v>
                </c:pt>
                <c:pt idx="2">
                  <c:v>Mar</c:v>
                </c:pt>
              </c:strCache>
            </c:strRef>
          </c:cat>
          <c:val>
            <c:numRef>
              <c:f>'Question 8'!$F$5:$F$8</c:f>
              <c:numCache>
                <c:formatCode>General</c:formatCode>
                <c:ptCount val="3"/>
                <c:pt idx="0">
                  <c:v>224</c:v>
                </c:pt>
                <c:pt idx="1">
                  <c:v>247</c:v>
                </c:pt>
                <c:pt idx="2">
                  <c:v>250</c:v>
                </c:pt>
              </c:numCache>
            </c:numRef>
          </c:val>
          <c:extLst>
            <c:ext xmlns:c16="http://schemas.microsoft.com/office/drawing/2014/chart" uri="{C3380CC4-5D6E-409C-BE32-E72D297353CC}">
              <c16:uniqueId val="{00000005-FF4F-48A5-AF55-F897C132B6EB}"/>
            </c:ext>
          </c:extLst>
        </c:ser>
        <c:dLbls>
          <c:showLegendKey val="0"/>
          <c:showVal val="0"/>
          <c:showCatName val="0"/>
          <c:showSerName val="0"/>
          <c:showPercent val="0"/>
          <c:showBubbleSize val="0"/>
        </c:dLbls>
        <c:gapWidth val="219"/>
        <c:overlap val="-27"/>
        <c:axId val="57882032"/>
        <c:axId val="57882448"/>
      </c:barChart>
      <c:catAx>
        <c:axId val="5788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82448"/>
        <c:crosses val="autoZero"/>
        <c:auto val="1"/>
        <c:lblAlgn val="ctr"/>
        <c:lblOffset val="100"/>
        <c:noMultiLvlLbl val="0"/>
      </c:catAx>
      <c:valAx>
        <c:axId val="57882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8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[ecommerce-Vivo califa.xlsx]Question 1!PivotT QN1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r>
              <a:rPr lang="en-US" baseline="0"/>
              <a:t> last 13 weeks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'Question 1'!$C$15</c:f>
              <c:strCache>
                <c:ptCount val="1"/>
                <c:pt idx="0">
                  <c:v>Sum of Quantity</c:v>
                </c:pt>
              </c:strCache>
            </c:strRef>
          </c:tx>
          <c:spPr>
            <a:ln w="28575" cap="rnd">
              <a:solidFill>
                <a:schemeClr val="accent2"/>
              </a:solidFill>
              <a:round/>
            </a:ln>
            <a:effectLst/>
          </c:spPr>
          <c:marker>
            <c:symbol val="none"/>
          </c:marker>
          <c:cat>
            <c:strRef>
              <c:f>'Question 1'!$A$16:$A$29</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'Question 1'!$C$16:$C$29</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1-C185-4763-873A-C476288131F8}"/>
            </c:ext>
          </c:extLst>
        </c:ser>
        <c:dLbls>
          <c:showLegendKey val="0"/>
          <c:showVal val="0"/>
          <c:showCatName val="0"/>
          <c:showSerName val="0"/>
          <c:showPercent val="0"/>
          <c:showBubbleSize val="0"/>
        </c:dLbls>
        <c:marker val="1"/>
        <c:smooth val="0"/>
        <c:axId val="77010096"/>
        <c:axId val="77006768"/>
      </c:lineChart>
      <c:lineChart>
        <c:grouping val="standard"/>
        <c:varyColors val="0"/>
        <c:ser>
          <c:idx val="0"/>
          <c:order val="0"/>
          <c:tx>
            <c:strRef>
              <c:f>'Question 1'!$B$15</c:f>
              <c:strCache>
                <c:ptCount val="1"/>
                <c:pt idx="0">
                  <c:v>Sum of Amount</c:v>
                </c:pt>
              </c:strCache>
            </c:strRef>
          </c:tx>
          <c:spPr>
            <a:ln w="28575" cap="rnd">
              <a:solidFill>
                <a:schemeClr val="accent5"/>
              </a:solidFill>
              <a:round/>
            </a:ln>
            <a:effectLst/>
          </c:spPr>
          <c:marker>
            <c:symbol val="none"/>
          </c:marker>
          <c:cat>
            <c:strRef>
              <c:f>'Question 1'!$A$16:$A$29</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'Question 1'!$B$16:$B$29</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0-C185-4763-873A-C476288131F8}"/>
            </c:ext>
          </c:extLst>
        </c:ser>
        <c:dLbls>
          <c:showLegendKey val="0"/>
          <c:showVal val="0"/>
          <c:showCatName val="0"/>
          <c:showSerName val="0"/>
          <c:showPercent val="0"/>
          <c:showBubbleSize val="0"/>
        </c:dLbls>
        <c:marker val="1"/>
        <c:smooth val="0"/>
        <c:axId val="1888772704"/>
        <c:axId val="1888772288"/>
      </c:lineChart>
      <c:catAx>
        <c:axId val="7701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06768"/>
        <c:crosses val="autoZero"/>
        <c:auto val="1"/>
        <c:lblAlgn val="ctr"/>
        <c:lblOffset val="100"/>
        <c:noMultiLvlLbl val="0"/>
      </c:catAx>
      <c:valAx>
        <c:axId val="77006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10096"/>
        <c:crosses val="autoZero"/>
        <c:crossBetween val="between"/>
      </c:valAx>
      <c:valAx>
        <c:axId val="1888772288"/>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772704"/>
        <c:crosses val="max"/>
        <c:crossBetween val="between"/>
      </c:valAx>
      <c:catAx>
        <c:axId val="1888772704"/>
        <c:scaling>
          <c:orientation val="minMax"/>
        </c:scaling>
        <c:delete val="1"/>
        <c:axPos val="b"/>
        <c:numFmt formatCode="General" sourceLinked="1"/>
        <c:majorTickMark val="out"/>
        <c:minorTickMark val="none"/>
        <c:tickLblPos val="nextTo"/>
        <c:crossAx val="1888772288"/>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[ecommerce-Vivo califa.xlsx]Question 4 and 5!Pivotqn 4&amp;5</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w="19050">
            <a:solidFill>
              <a:schemeClr val="lt1"/>
            </a:solidFill>
          </a:ln>
          <a:effectLst/>
        </c:spPr>
      </c:pivotFmt>
      <c:pivotFmt>
        <c:idx val="2"/>
        <c:spPr>
          <a:solidFill>
            <a:schemeClr val="tx2">
              <a:lumMod val="50000"/>
              <a:lumOff val="50000"/>
            </a:schemeClr>
          </a:solidFill>
          <a:ln w="19050">
            <a:solidFill>
              <a:schemeClr val="lt1"/>
            </a:solidFill>
          </a:ln>
          <a:effectLst/>
        </c:spPr>
      </c:pivotFmt>
      <c:pivotFmt>
        <c:idx val="3"/>
        <c:spPr>
          <a:solidFill>
            <a:srgbClr val="00B05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75000"/>
              <a:lumOff val="25000"/>
            </a:schemeClr>
          </a:solidFill>
          <a:ln w="19050">
            <a:solidFill>
              <a:schemeClr val="lt1"/>
            </a:solidFill>
          </a:ln>
          <a:effectLst/>
        </c:spPr>
      </c:pivotFmt>
      <c:pivotFmt>
        <c:idx val="6"/>
        <c:spPr>
          <a:solidFill>
            <a:schemeClr val="accent4">
              <a:lumMod val="75000"/>
            </a:schemeClr>
          </a:solidFill>
          <a:ln w="19050">
            <a:solidFill>
              <a:schemeClr val="lt1"/>
            </a:solidFill>
          </a:ln>
          <a:effectLst/>
        </c:spPr>
      </c:pivotFmt>
      <c:pivotFmt>
        <c:idx val="7"/>
        <c:spPr>
          <a:solidFill>
            <a:srgbClr val="00B050"/>
          </a:solidFill>
          <a:ln w="19050">
            <a:solidFill>
              <a:schemeClr val="lt1"/>
            </a:solidFill>
          </a:ln>
          <a:effectLst/>
        </c:spPr>
      </c:pivotFmt>
      <c:pivotFmt>
        <c:idx val="8"/>
        <c:spPr>
          <a:solidFill>
            <a:schemeClr val="tx2">
              <a:lumMod val="50000"/>
              <a:lumOff val="50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pattFill prst="pct5">
              <a:fgClr>
                <a:sysClr val="window" lastClr="FFFFFF"/>
              </a:fgClr>
              <a:bgClr>
                <a:sysClr val="window" lastClr="FFFFFF"/>
              </a:bgClr>
            </a:patt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tx2">
              <a:lumMod val="75000"/>
              <a:lumOff val="25000"/>
            </a:schemeClr>
          </a:solidFill>
          <a:ln w="19050">
            <a:solidFill>
              <a:schemeClr val="lt1"/>
            </a:solidFill>
          </a:ln>
          <a:effectLst/>
        </c:spPr>
        <c:dLbl>
          <c:idx val="0"/>
          <c:layout>
            <c:manualLayout>
              <c:x val="0.124444531544729"/>
              <c:y val="0.1939799331103679"/>
            </c:manualLayout>
          </c:layout>
          <c:spPr>
            <a:pattFill prst="pct5">
              <a:fgClr>
                <a:sysClr val="window" lastClr="FFFFFF"/>
              </a:fgClr>
              <a:bgClr>
                <a:sysClr val="window" lastClr="FFFFFF"/>
              </a:bgClr>
            </a:patt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4">
              <a:lumMod val="75000"/>
            </a:schemeClr>
          </a:solidFill>
          <a:ln w="19050">
            <a:solidFill>
              <a:schemeClr val="lt1"/>
            </a:solidFill>
          </a:ln>
          <a:effectLst/>
        </c:spPr>
        <c:dLbl>
          <c:idx val="0"/>
          <c:layout>
            <c:manualLayout>
              <c:x val="-0.15111121687574236"/>
              <c:y val="0.12709030100334437"/>
            </c:manualLayout>
          </c:layout>
          <c:spPr>
            <a:pattFill prst="pct5">
              <a:fgClr>
                <a:sysClr val="window" lastClr="FFFFFF"/>
              </a:fgClr>
              <a:bgClr>
                <a:sysClr val="window" lastClr="FFFFFF"/>
              </a:bgClr>
            </a:patt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00B050"/>
          </a:solidFill>
          <a:ln w="19050">
            <a:solidFill>
              <a:schemeClr val="lt1"/>
            </a:solidFill>
          </a:ln>
          <a:effectLst/>
        </c:spPr>
        <c:dLbl>
          <c:idx val="0"/>
          <c:layout>
            <c:manualLayout>
              <c:x val="-0.24000016797912019"/>
              <c:y val="-8.695652173913046E-2"/>
            </c:manualLayout>
          </c:layout>
          <c:spPr>
            <a:pattFill prst="pct5">
              <a:fgClr>
                <a:sysClr val="window" lastClr="FFFFFF"/>
              </a:fgClr>
              <a:bgClr>
                <a:sysClr val="window" lastClr="FFFFFF"/>
              </a:bgClr>
            </a:patt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tx2">
              <a:lumMod val="50000"/>
              <a:lumOff val="50000"/>
            </a:schemeClr>
          </a:solidFill>
          <a:ln w="19050">
            <a:solidFill>
              <a:schemeClr val="lt1"/>
            </a:solidFill>
          </a:ln>
          <a:effectLst/>
        </c:spPr>
        <c:dLbl>
          <c:idx val="0"/>
          <c:layout>
            <c:manualLayout>
              <c:x val="0.26666685331013362"/>
              <c:y val="-0.12709030100334451"/>
            </c:manualLayout>
          </c:layout>
          <c:spPr>
            <a:pattFill prst="pct5">
              <a:fgClr>
                <a:sysClr val="window" lastClr="FFFFFF"/>
              </a:fgClr>
              <a:bgClr>
                <a:sysClr val="window" lastClr="FFFFFF"/>
              </a:bgClr>
            </a:patt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'Question 4 and 5'!$J$3</c:f>
              <c:strCache>
                <c:ptCount val="1"/>
                <c:pt idx="0">
                  <c:v>Total</c:v>
                </c:pt>
              </c:strCache>
            </c:strRef>
          </c:tx>
          <c:dPt>
            <c:idx val="0"/>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1-C299-43B9-BC0A-AEBD44D3725B}"/>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C299-43B9-BC0A-AEBD44D3725B}"/>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C299-43B9-BC0A-AEBD44D3725B}"/>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C299-43B9-BC0A-AEBD44D3725B}"/>
              </c:ext>
            </c:extLst>
          </c:dPt>
          <c:dLbls>
            <c:dLbl>
              <c:idx val="0"/>
              <c:layout>
                <c:manualLayout>
                  <c:x val="0.124444531544729"/>
                  <c:y val="0.193979933110367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299-43B9-BC0A-AEBD44D3725B}"/>
                </c:ext>
              </c:extLst>
            </c:dLbl>
            <c:dLbl>
              <c:idx val="1"/>
              <c:layout>
                <c:manualLayout>
                  <c:x val="-0.15111121687574236"/>
                  <c:y val="0.1270903010033443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299-43B9-BC0A-AEBD44D3725B}"/>
                </c:ext>
              </c:extLst>
            </c:dLbl>
            <c:dLbl>
              <c:idx val="2"/>
              <c:layout>
                <c:manualLayout>
                  <c:x val="-0.24000016797912019"/>
                  <c:y val="-8.69565217391304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299-43B9-BC0A-AEBD44D3725B}"/>
                </c:ext>
              </c:extLst>
            </c:dLbl>
            <c:dLbl>
              <c:idx val="3"/>
              <c:layout>
                <c:manualLayout>
                  <c:x val="0.26666685331013362"/>
                  <c:y val="-0.1270903010033445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299-43B9-BC0A-AEBD44D3725B}"/>
                </c:ext>
              </c:extLst>
            </c:dLbl>
            <c:spPr>
              <a:pattFill prst="pct5">
                <a:fgClr>
                  <a:sysClr val="window" lastClr="FFFFFF"/>
                </a:fgClr>
                <a:bgClr>
                  <a:sysClr val="window" lastClr="FFFFFF"/>
                </a:bgClr>
              </a:patt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'Question 4 and 5'!$I$4:$I$8</c:f>
              <c:strCache>
                <c:ptCount val="4"/>
                <c:pt idx="0">
                  <c:v>Female</c:v>
                </c:pt>
                <c:pt idx="1">
                  <c:v>Male</c:v>
                </c:pt>
                <c:pt idx="2">
                  <c:v>Other</c:v>
                </c:pt>
                <c:pt idx="3">
                  <c:v>Unknown</c:v>
                </c:pt>
              </c:strCache>
            </c:strRef>
          </c:cat>
          <c:val>
            <c:numRef>
              <c:f>'Question 4 and 5'!$J$4:$J$8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C299-43B9-BC0A-AEBD44D3725B}"/>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[ecommerce-Vivo califa.xlsx]Question 3!PivotTqn3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many they buy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a:glow>
              <a:srgbClr val="9FBFAD"/>
            </a:glo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3'!$B$3</c:f>
              <c:strCache>
                <c:ptCount val="1"/>
                <c:pt idx="0">
                  <c:v>Total</c:v>
                </c:pt>
              </c:strCache>
            </c:strRef>
          </c:tx>
          <c:spPr>
            <a:solidFill>
              <a:schemeClr val="tx2">
                <a:lumMod val="75000"/>
                <a:lumOff val="25000"/>
              </a:schemeClr>
            </a:solidFill>
            <a:ln>
              <a:noFill/>
            </a:ln>
            <a:effectLst>
              <a:glow>
                <a:srgbClr val="9FBFAD"/>
              </a:glow>
              <a:softEdge rad="0"/>
            </a:effectLst>
          </c:spPr>
          <c:invertIfNegative val="0"/>
          <c:cat>
            <c:strRef>
              <c:f>'Question 3'!$A$4:$A$11</c:f>
              <c:strCache>
                <c:ptCount val="7"/>
                <c:pt idx="0">
                  <c:v>1</c:v>
                </c:pt>
                <c:pt idx="1">
                  <c:v>2</c:v>
                </c:pt>
                <c:pt idx="2">
                  <c:v>3</c:v>
                </c:pt>
                <c:pt idx="3">
                  <c:v>4</c:v>
                </c:pt>
                <c:pt idx="4">
                  <c:v>5</c:v>
                </c:pt>
                <c:pt idx="5">
                  <c:v>Group1</c:v>
                </c:pt>
                <c:pt idx="6">
                  <c:v>Group2</c:v>
                </c:pt>
              </c:strCache>
            </c:strRef>
          </c:cat>
          <c:val>
            <c:numRef>
              <c:f>'Question 3'!$B$4:$B$11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5A9E-483B-A6B9-248B9E87A4B9}"/>
            </c:ext>
          </c:extLst>
        </c:ser>
        <c:dLbls>
          <c:showLegendKey val="0"/>
          <c:showVal val="0"/>
          <c:showCatName val="0"/>
          <c:showSerName val="0"/>
          <c:showPercent val="0"/>
          <c:showBubbleSize val="0"/>
        </c:dLbls>
        <c:gapWidth val="22"/>
        <c:overlap val="-100"/>
        <c:axId val="57881616"/>
        <c:axId val="57885776"/>
      </c:barChart>
      <c:catAx>
        <c:axId val="5788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85776"/>
        <c:crosses val="autoZero"/>
        <c:auto val="1"/>
        <c:lblAlgn val="ctr"/>
        <c:lblOffset val="100"/>
        <c:noMultiLvlLbl val="0"/>
      </c:catAx>
      <c:valAx>
        <c:axId val="5788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81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[ecommerce-Vivo califa.xlsx]Question 4 and 5!PivotTable7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a:t>
            </a:r>
            <a:r>
              <a:rPr lang="en-US" baseline="0"/>
              <a:t> prodcts are poplar</a:t>
            </a:r>
            <a:endParaRPr lang="en-US"/>
          </a:p>
        </c:rich>
      </c:tx>
      <c:layout>
        <c:manualLayout>
          <c:xMode val="edge"/>
          <c:yMode val="edge"/>
          <c:x val="0.32444444444444442"/>
          <c:y val="3.47991951523046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rgbClr val="00B0F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tx2">
              <a:lumMod val="75000"/>
              <a:lumOff val="2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5">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rgbClr val="00B0F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tx2">
              <a:lumMod val="75000"/>
              <a:lumOff val="2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33737970253718"/>
          <c:y val="0.14712730761595977"/>
          <c:w val="0.33629286964129484"/>
          <c:h val="0.75010279965004378"/>
        </c:manualLayout>
      </c:layout>
      <c:barChart>
        <c:barDir val="bar"/>
        <c:grouping val="stacked"/>
        <c:varyColors val="0"/>
        <c:ser>
          <c:idx val="0"/>
          <c:order val="0"/>
          <c:tx>
            <c:strRef>
              <c:f>'Question 4 and 5'!$B$3:$B$4</c:f>
              <c:strCache>
                <c:ptCount val="1"/>
                <c:pt idx="0">
                  <c:v>Female</c:v>
                </c:pt>
              </c:strCache>
            </c:strRef>
          </c:tx>
          <c:spPr>
            <a:solidFill>
              <a:schemeClr val="accent5">
                <a:lumMod val="50000"/>
              </a:schemeClr>
            </a:solidFill>
            <a:ln>
              <a:noFill/>
            </a:ln>
            <a:effectLst/>
          </c:spPr>
          <c:invertIfNegative val="0"/>
          <c:cat>
            <c:strRef>
              <c:f>'Question 4 and 5'!$A$5:$A$25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'Question 4 and 5'!$B$5:$B$25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0CF8-4BE5-88C5-F2ABD53202F6}"/>
            </c:ext>
          </c:extLst>
        </c:ser>
        <c:ser>
          <c:idx val="1"/>
          <c:order val="1"/>
          <c:tx>
            <c:strRef>
              <c:f>'Question 4 and 5'!$C$3:$C$4</c:f>
              <c:strCache>
                <c:ptCount val="1"/>
                <c:pt idx="0">
                  <c:v>Male</c:v>
                </c:pt>
              </c:strCache>
            </c:strRef>
          </c:tx>
          <c:spPr>
            <a:solidFill>
              <a:srgbClr val="00B0F0"/>
            </a:solidFill>
            <a:ln>
              <a:noFill/>
            </a:ln>
            <a:effectLst/>
          </c:spPr>
          <c:invertIfNegative val="0"/>
          <c:cat>
            <c:strRef>
              <c:f>'Question 4 and 5'!$A$5:$A$25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'Question 4 and 5'!$C$5:$C$25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0CF8-4BE5-88C5-F2ABD53202F6}"/>
            </c:ext>
          </c:extLst>
        </c:ser>
        <c:ser>
          <c:idx val="2"/>
          <c:order val="2"/>
          <c:tx>
            <c:strRef>
              <c:f>'Question 4 and 5'!$D$3:$D$4</c:f>
              <c:strCache>
                <c:ptCount val="1"/>
                <c:pt idx="0">
                  <c:v>Other</c:v>
                </c:pt>
              </c:strCache>
            </c:strRef>
          </c:tx>
          <c:spPr>
            <a:solidFill>
              <a:schemeClr val="accent3"/>
            </a:solidFill>
            <a:ln>
              <a:noFill/>
            </a:ln>
            <a:effectLst/>
          </c:spPr>
          <c:invertIfNegative val="0"/>
          <c:cat>
            <c:strRef>
              <c:f>'Question 4 and 5'!$A$5:$A$25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'Question 4 and 5'!$D$5:$D$25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0CF8-4BE5-88C5-F2ABD53202F6}"/>
            </c:ext>
          </c:extLst>
        </c:ser>
        <c:ser>
          <c:idx val="3"/>
          <c:order val="3"/>
          <c:tx>
            <c:strRef>
              <c:f>'Question 4 and 5'!$E$3:$E$4</c:f>
              <c:strCache>
                <c:ptCount val="1"/>
                <c:pt idx="0">
                  <c:v>Unknown</c:v>
                </c:pt>
              </c:strCache>
            </c:strRef>
          </c:tx>
          <c:spPr>
            <a:solidFill>
              <a:schemeClr val="tx2">
                <a:lumMod val="75000"/>
                <a:lumOff val="25000"/>
              </a:schemeClr>
            </a:solidFill>
            <a:ln>
              <a:noFill/>
            </a:ln>
            <a:effectLst/>
          </c:spPr>
          <c:invertIfNegative val="0"/>
          <c:cat>
            <c:strRef>
              <c:f>'Question 4 and 5'!$A$5:$A$25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'Question 4 and 5'!$E$5:$E$25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0CF8-4BE5-88C5-F2ABD53202F6}"/>
            </c:ext>
          </c:extLst>
        </c:ser>
        <c:dLbls>
          <c:dLblPos val="ctr"/>
          <c:showLegendKey val="0"/>
          <c:showVal val="0"/>
          <c:showCatName val="0"/>
          <c:showSerName val="0"/>
          <c:showPercent val="0"/>
          <c:showBubbleSize val="0"/>
        </c:dLbls>
        <c:gapWidth val="18"/>
        <c:overlap val="100"/>
        <c:axId val="1888768960"/>
        <c:axId val="1888773952"/>
      </c:barChart>
      <c:catAx>
        <c:axId val="188876896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773952"/>
        <c:crosses val="autoZero"/>
        <c:auto val="1"/>
        <c:lblAlgn val="ctr"/>
        <c:lblOffset val="100"/>
        <c:noMultiLvlLbl val="0"/>
      </c:catAx>
      <c:valAx>
        <c:axId val="1888773952"/>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7689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[ecommerce-Vivo califa.xlsx]Question 4 and 5!Pivotqn 4&amp;5</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w="19050">
            <a:solidFill>
              <a:schemeClr val="lt1"/>
            </a:solidFill>
          </a:ln>
          <a:effectLst/>
        </c:spPr>
      </c:pivotFmt>
      <c:pivotFmt>
        <c:idx val="2"/>
        <c:spPr>
          <a:solidFill>
            <a:schemeClr val="tx2">
              <a:lumMod val="50000"/>
              <a:lumOff val="50000"/>
            </a:schemeClr>
          </a:solidFill>
          <a:ln w="19050">
            <a:solidFill>
              <a:schemeClr val="lt1"/>
            </a:solidFill>
          </a:ln>
          <a:effectLst/>
        </c:spPr>
      </c:pivotFmt>
      <c:pivotFmt>
        <c:idx val="3"/>
        <c:spPr>
          <a:solidFill>
            <a:srgbClr val="00B05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w="19050">
            <a:solidFill>
              <a:schemeClr val="lt1"/>
            </a:solidFill>
          </a:ln>
          <a:effectLst/>
        </c:spPr>
      </c:pivotFmt>
      <c:pivotFmt>
        <c:idx val="6"/>
        <c:spPr>
          <a:solidFill>
            <a:schemeClr val="accent4">
              <a:lumMod val="75000"/>
            </a:schemeClr>
          </a:solidFill>
          <a:ln w="19050">
            <a:solidFill>
              <a:schemeClr val="lt1"/>
            </a:solidFill>
          </a:ln>
          <a:effectLst/>
        </c:spPr>
      </c:pivotFmt>
      <c:pivotFmt>
        <c:idx val="7"/>
        <c:spPr>
          <a:solidFill>
            <a:srgbClr val="00B050"/>
          </a:solidFill>
          <a:ln w="19050">
            <a:solidFill>
              <a:schemeClr val="lt1"/>
            </a:solidFill>
          </a:ln>
          <a:effectLst/>
        </c:spPr>
      </c:pivotFmt>
      <c:pivotFmt>
        <c:idx val="8"/>
        <c:spPr>
          <a:solidFill>
            <a:schemeClr val="tx2">
              <a:lumMod val="50000"/>
              <a:lumOff val="50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4">
              <a:lumMod val="75000"/>
            </a:schemeClr>
          </a:solidFill>
          <a:ln w="19050">
            <a:solidFill>
              <a:schemeClr val="lt1"/>
            </a:solidFill>
          </a:ln>
          <a:effectLst/>
        </c:spPr>
        <c:dLbl>
          <c:idx val="0"/>
          <c:layout>
            <c:manualLayout>
              <c:x val="0.18181804481931596"/>
              <c:y val="0.154589371980676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4">
              <a:lumMod val="75000"/>
            </a:schemeClr>
          </a:solidFill>
          <a:ln w="19050">
            <a:solidFill>
              <a:schemeClr val="lt1"/>
            </a:solidFill>
          </a:ln>
          <a:effectLst/>
        </c:spPr>
        <c:dLbl>
          <c:idx val="0"/>
          <c:layout>
            <c:manualLayout>
              <c:x val="-0.19138741559927996"/>
              <c:y val="0.154589371980676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00B050"/>
          </a:solidFill>
          <a:ln w="19050">
            <a:solidFill>
              <a:schemeClr val="lt1"/>
            </a:solidFill>
          </a:ln>
          <a:effectLst/>
        </c:spPr>
        <c:dLbl>
          <c:idx val="0"/>
          <c:layout>
            <c:manualLayout>
              <c:x val="-0.16267930325938798"/>
              <c:y val="-0.144927536231884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tx2">
              <a:lumMod val="50000"/>
              <a:lumOff val="50000"/>
            </a:schemeClr>
          </a:solidFill>
          <a:ln w="19050">
            <a:solidFill>
              <a:schemeClr val="lt1"/>
            </a:solidFill>
          </a:ln>
          <a:effectLst/>
        </c:spPr>
        <c:dLbl>
          <c:idx val="0"/>
          <c:layout>
            <c:manualLayout>
              <c:x val="0.22966489871913587"/>
              <c:y val="-0.2512077294685990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5371506054190355"/>
          <c:y val="0.33750461459379894"/>
          <c:w val="0.40535940560300054"/>
          <c:h val="0.5972134862964088"/>
        </c:manualLayout>
      </c:layout>
      <c:doughnutChart>
        <c:varyColors val="1"/>
        <c:ser>
          <c:idx val="0"/>
          <c:order val="0"/>
          <c:tx>
            <c:strRef>
              <c:f>'Question 4 and 5'!$J$3</c:f>
              <c:strCache>
                <c:ptCount val="1"/>
                <c:pt idx="0">
                  <c:v>Total</c:v>
                </c:pt>
              </c:strCache>
            </c:strRef>
          </c:tx>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E1AD-4B46-A903-5976DA992E76}"/>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E1AD-4B46-A903-5976DA992E76}"/>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E1AD-4B46-A903-5976DA992E76}"/>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E1AD-4B46-A903-5976DA992E76}"/>
              </c:ext>
            </c:extLst>
          </c:dPt>
          <c:dLbls>
            <c:dLbl>
              <c:idx val="0"/>
              <c:layout>
                <c:manualLayout>
                  <c:x val="0.18181804481931596"/>
                  <c:y val="0.1545893719806763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1AD-4B46-A903-5976DA992E76}"/>
                </c:ext>
              </c:extLst>
            </c:dLbl>
            <c:dLbl>
              <c:idx val="1"/>
              <c:layout>
                <c:manualLayout>
                  <c:x val="-0.19138741559927996"/>
                  <c:y val="0.1545893719806762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1AD-4B46-A903-5976DA992E76}"/>
                </c:ext>
              </c:extLst>
            </c:dLbl>
            <c:dLbl>
              <c:idx val="2"/>
              <c:layout>
                <c:manualLayout>
                  <c:x val="-0.16267930325938798"/>
                  <c:y val="-0.1449275362318840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1AD-4B46-A903-5976DA992E76}"/>
                </c:ext>
              </c:extLst>
            </c:dLbl>
            <c:dLbl>
              <c:idx val="3"/>
              <c:layout>
                <c:manualLayout>
                  <c:x val="0.22966489871913587"/>
                  <c:y val="-0.2512077294685990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1AD-4B46-A903-5976DA992E7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'Question 4 and 5'!$I$4:$I$8</c:f>
              <c:strCache>
                <c:ptCount val="4"/>
                <c:pt idx="0">
                  <c:v>Female</c:v>
                </c:pt>
                <c:pt idx="1">
                  <c:v>Male</c:v>
                </c:pt>
                <c:pt idx="2">
                  <c:v>Other</c:v>
                </c:pt>
                <c:pt idx="3">
                  <c:v>Unknown</c:v>
                </c:pt>
              </c:strCache>
            </c:strRef>
          </c:cat>
          <c:val>
            <c:numRef>
              <c:f>'Question 4 and 5'!$J$4:$J$8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E1AD-4B46-A903-5976DA992E76}"/>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[ecommerce-Vivo califa.xlsx]Question 7!PivotTqn 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long  it takes to ship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91426071741031"/>
          <c:y val="0.24476633129192185"/>
          <c:w val="0.76112270341207344"/>
          <c:h val="0.53774387576552929"/>
        </c:manualLayout>
      </c:layout>
      <c:barChart>
        <c:barDir val="col"/>
        <c:grouping val="clustered"/>
        <c:varyColors val="0"/>
        <c:ser>
          <c:idx val="0"/>
          <c:order val="0"/>
          <c:tx>
            <c:strRef>
              <c:f>'Question 7'!$B$3</c:f>
              <c:strCache>
                <c:ptCount val="1"/>
                <c:pt idx="0">
                  <c:v>Total</c:v>
                </c:pt>
              </c:strCache>
            </c:strRef>
          </c:tx>
          <c:spPr>
            <a:solidFill>
              <a:schemeClr val="tx2">
                <a:lumMod val="75000"/>
                <a:lumOff val="25000"/>
              </a:schemeClr>
            </a:solidFill>
            <a:ln>
              <a:noFill/>
            </a:ln>
            <a:effectLst/>
          </c:spPr>
          <c:invertIfNegative val="0"/>
          <c:cat>
            <c:strRef>
              <c:f>'Question 7'!$A$4:$A$19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'Question 7'!$B$4:$B$19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893A-4D98-B9A6-532FA45269BA}"/>
            </c:ext>
          </c:extLst>
        </c:ser>
        <c:dLbls>
          <c:showLegendKey val="0"/>
          <c:showVal val="0"/>
          <c:showCatName val="0"/>
          <c:showSerName val="0"/>
          <c:showPercent val="0"/>
          <c:showBubbleSize val="0"/>
        </c:dLbls>
        <c:gapWidth val="29"/>
        <c:overlap val="-27"/>
        <c:axId val="1597614720"/>
        <c:axId val="1597620544"/>
      </c:barChart>
      <c:catAx>
        <c:axId val="159761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620544"/>
        <c:crosses val="autoZero"/>
        <c:auto val="1"/>
        <c:lblAlgn val="ctr"/>
        <c:lblOffset val="100"/>
        <c:noMultiLvlLbl val="0"/>
      </c:catAx>
      <c:valAx>
        <c:axId val="159762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61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[ecommerce-Vivo califa.xlsx]Question 8!PivotTqn 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happy are our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8'!$B$3:$B$4</c:f>
              <c:strCache>
                <c:ptCount val="1"/>
                <c:pt idx="0">
                  <c:v>1</c:v>
                </c:pt>
              </c:strCache>
            </c:strRef>
          </c:tx>
          <c:spPr>
            <a:solidFill>
              <a:schemeClr val="accent1"/>
            </a:solidFill>
            <a:ln>
              <a:noFill/>
            </a:ln>
            <a:effectLst/>
          </c:spPr>
          <c:invertIfNegative val="0"/>
          <c:cat>
            <c:strRef>
              <c:f>'Question 8'!$A$5:$A$8</c:f>
              <c:strCache>
                <c:ptCount val="3"/>
                <c:pt idx="0">
                  <c:v>Jan</c:v>
                </c:pt>
                <c:pt idx="1">
                  <c:v>Feb</c:v>
                </c:pt>
                <c:pt idx="2">
                  <c:v>Mar</c:v>
                </c:pt>
              </c:strCache>
            </c:strRef>
          </c:cat>
          <c:val>
            <c:numRef>
              <c:f>'Question 8'!$B$5:$B$8</c:f>
              <c:numCache>
                <c:formatCode>General</c:formatCode>
                <c:ptCount val="3"/>
                <c:pt idx="0">
                  <c:v>7</c:v>
                </c:pt>
                <c:pt idx="1">
                  <c:v>8</c:v>
                </c:pt>
                <c:pt idx="2">
                  <c:v>6</c:v>
                </c:pt>
              </c:numCache>
            </c:numRef>
          </c:val>
          <c:extLst>
            <c:ext xmlns:c16="http://schemas.microsoft.com/office/drawing/2014/chart" uri="{C3380CC4-5D6E-409C-BE32-E72D297353CC}">
              <c16:uniqueId val="{00000000-FB49-4E5E-9DE5-62EE418BBAE0}"/>
            </c:ext>
          </c:extLst>
        </c:ser>
        <c:ser>
          <c:idx val="1"/>
          <c:order val="1"/>
          <c:tx>
            <c:strRef>
              <c:f>'Question 8'!$C$3:$C$4</c:f>
              <c:strCache>
                <c:ptCount val="1"/>
                <c:pt idx="0">
                  <c:v>2</c:v>
                </c:pt>
              </c:strCache>
            </c:strRef>
          </c:tx>
          <c:spPr>
            <a:solidFill>
              <a:srgbClr val="FF0000"/>
            </a:solidFill>
            <a:ln>
              <a:noFill/>
            </a:ln>
            <a:effectLst/>
          </c:spPr>
          <c:invertIfNegative val="0"/>
          <c:cat>
            <c:strRef>
              <c:f>'Question 8'!$A$5:$A$8</c:f>
              <c:strCache>
                <c:ptCount val="3"/>
                <c:pt idx="0">
                  <c:v>Jan</c:v>
                </c:pt>
                <c:pt idx="1">
                  <c:v>Feb</c:v>
                </c:pt>
                <c:pt idx="2">
                  <c:v>Mar</c:v>
                </c:pt>
              </c:strCache>
            </c:strRef>
          </c:cat>
          <c:val>
            <c:numRef>
              <c:f>'Question 8'!$C$5:$C$8</c:f>
              <c:numCache>
                <c:formatCode>General</c:formatCode>
                <c:ptCount val="3"/>
                <c:pt idx="0">
                  <c:v>37</c:v>
                </c:pt>
                <c:pt idx="1">
                  <c:v>51</c:v>
                </c:pt>
                <c:pt idx="2">
                  <c:v>39</c:v>
                </c:pt>
              </c:numCache>
            </c:numRef>
          </c:val>
          <c:extLst>
            <c:ext xmlns:c16="http://schemas.microsoft.com/office/drawing/2014/chart" uri="{C3380CC4-5D6E-409C-BE32-E72D297353CC}">
              <c16:uniqueId val="{00000001-FB49-4E5E-9DE5-62EE418BBAE0}"/>
            </c:ext>
          </c:extLst>
        </c:ser>
        <c:ser>
          <c:idx val="2"/>
          <c:order val="2"/>
          <c:tx>
            <c:strRef>
              <c:f>'Question 8'!$D$3:$D$4</c:f>
              <c:strCache>
                <c:ptCount val="1"/>
                <c:pt idx="0">
                  <c:v>3</c:v>
                </c:pt>
              </c:strCache>
            </c:strRef>
          </c:tx>
          <c:spPr>
            <a:solidFill>
              <a:srgbClr val="7030A0"/>
            </a:solidFill>
            <a:ln>
              <a:noFill/>
            </a:ln>
            <a:effectLst/>
          </c:spPr>
          <c:invertIfNegative val="0"/>
          <c:cat>
            <c:strRef>
              <c:f>'Question 8'!$A$5:$A$8</c:f>
              <c:strCache>
                <c:ptCount val="3"/>
                <c:pt idx="0">
                  <c:v>Jan</c:v>
                </c:pt>
                <c:pt idx="1">
                  <c:v>Feb</c:v>
                </c:pt>
                <c:pt idx="2">
                  <c:v>Mar</c:v>
                </c:pt>
              </c:strCache>
            </c:strRef>
          </c:cat>
          <c:val>
            <c:numRef>
              <c:f>'Question 8'!$D$5:$D$8</c:f>
              <c:numCache>
                <c:formatCode>General</c:formatCode>
                <c:ptCount val="3"/>
                <c:pt idx="0">
                  <c:v>150</c:v>
                </c:pt>
                <c:pt idx="1">
                  <c:v>182</c:v>
                </c:pt>
                <c:pt idx="2">
                  <c:v>163</c:v>
                </c:pt>
              </c:numCache>
            </c:numRef>
          </c:val>
          <c:extLst>
            <c:ext xmlns:c16="http://schemas.microsoft.com/office/drawing/2014/chart" uri="{C3380CC4-5D6E-409C-BE32-E72D297353CC}">
              <c16:uniqueId val="{00000002-FB49-4E5E-9DE5-62EE418BBAE0}"/>
            </c:ext>
          </c:extLst>
        </c:ser>
        <c:ser>
          <c:idx val="3"/>
          <c:order val="3"/>
          <c:tx>
            <c:strRef>
              <c:f>'Question 8'!$E$3:$E$4</c:f>
              <c:strCache>
                <c:ptCount val="1"/>
                <c:pt idx="0">
                  <c:v>4</c:v>
                </c:pt>
              </c:strCache>
            </c:strRef>
          </c:tx>
          <c:spPr>
            <a:solidFill>
              <a:schemeClr val="tx2">
                <a:lumMod val="90000"/>
                <a:lumOff val="10000"/>
              </a:schemeClr>
            </a:solidFill>
            <a:ln>
              <a:noFill/>
            </a:ln>
            <a:effectLst/>
          </c:spPr>
          <c:invertIfNegative val="0"/>
          <c:cat>
            <c:strRef>
              <c:f>'Question 8'!$A$5:$A$8</c:f>
              <c:strCache>
                <c:ptCount val="3"/>
                <c:pt idx="0">
                  <c:v>Jan</c:v>
                </c:pt>
                <c:pt idx="1">
                  <c:v>Feb</c:v>
                </c:pt>
                <c:pt idx="2">
                  <c:v>Mar</c:v>
                </c:pt>
              </c:strCache>
            </c:strRef>
          </c:cat>
          <c:val>
            <c:numRef>
              <c:f>'Question 8'!$E$5:$E$8</c:f>
              <c:numCache>
                <c:formatCode>General</c:formatCode>
                <c:ptCount val="3"/>
                <c:pt idx="0">
                  <c:v>312</c:v>
                </c:pt>
                <c:pt idx="1">
                  <c:v>373</c:v>
                </c:pt>
                <c:pt idx="2">
                  <c:v>351</c:v>
                </c:pt>
              </c:numCache>
            </c:numRef>
          </c:val>
          <c:extLst>
            <c:ext xmlns:c16="http://schemas.microsoft.com/office/drawing/2014/chart" uri="{C3380CC4-5D6E-409C-BE32-E72D297353CC}">
              <c16:uniqueId val="{00000003-FB49-4E5E-9DE5-62EE418BBAE0}"/>
            </c:ext>
          </c:extLst>
        </c:ser>
        <c:ser>
          <c:idx val="4"/>
          <c:order val="4"/>
          <c:tx>
            <c:strRef>
              <c:f>'Question 8'!$F$3:$F$4</c:f>
              <c:strCache>
                <c:ptCount val="1"/>
                <c:pt idx="0">
                  <c:v>5</c:v>
                </c:pt>
              </c:strCache>
            </c:strRef>
          </c:tx>
          <c:spPr>
            <a:solidFill>
              <a:srgbClr val="00B0F0"/>
            </a:solidFill>
            <a:ln>
              <a:noFill/>
            </a:ln>
            <a:effectLst/>
          </c:spPr>
          <c:invertIfNegative val="0"/>
          <c:cat>
            <c:strRef>
              <c:f>'Question 8'!$A$5:$A$8</c:f>
              <c:strCache>
                <c:ptCount val="3"/>
                <c:pt idx="0">
                  <c:v>Jan</c:v>
                </c:pt>
                <c:pt idx="1">
                  <c:v>Feb</c:v>
                </c:pt>
                <c:pt idx="2">
                  <c:v>Mar</c:v>
                </c:pt>
              </c:strCache>
            </c:strRef>
          </c:cat>
          <c:val>
            <c:numRef>
              <c:f>'Question 8'!$F$5:$F$8</c:f>
              <c:numCache>
                <c:formatCode>General</c:formatCode>
                <c:ptCount val="3"/>
                <c:pt idx="0">
                  <c:v>224</c:v>
                </c:pt>
                <c:pt idx="1">
                  <c:v>247</c:v>
                </c:pt>
                <c:pt idx="2">
                  <c:v>250</c:v>
                </c:pt>
              </c:numCache>
            </c:numRef>
          </c:val>
          <c:extLst>
            <c:ext xmlns:c16="http://schemas.microsoft.com/office/drawing/2014/chart" uri="{C3380CC4-5D6E-409C-BE32-E72D297353CC}">
              <c16:uniqueId val="{00000004-FB49-4E5E-9DE5-62EE418BBAE0}"/>
            </c:ext>
          </c:extLst>
        </c:ser>
        <c:dLbls>
          <c:showLegendKey val="0"/>
          <c:showVal val="0"/>
          <c:showCatName val="0"/>
          <c:showSerName val="0"/>
          <c:showPercent val="0"/>
          <c:showBubbleSize val="0"/>
        </c:dLbls>
        <c:gapWidth val="43"/>
        <c:overlap val="-27"/>
        <c:axId val="57882032"/>
        <c:axId val="57882448"/>
      </c:barChart>
      <c:catAx>
        <c:axId val="5788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82448"/>
        <c:crosses val="autoZero"/>
        <c:auto val="1"/>
        <c:lblAlgn val="ctr"/>
        <c:lblOffset val="100"/>
        <c:noMultiLvlLbl val="0"/>
      </c:catAx>
      <c:valAx>
        <c:axId val="57882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8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Where our customers live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Where our customers live</a:t>
          </a:r>
        </a:p>
      </cx:txPr>
    </cx:title>
    <cx:plotArea>
      <cx:plotAreaRegion>
        <cx:series layoutId="regionMap" uniqueId="{7D982CF9-3485-4ECD-8481-3C7C0063F32B}">
          <cx:tx>
            <cx:txData>
              <cx:f>_xlchart.v5.6</cx:f>
              <cx:v>Quantity</cx:v>
            </cx:txData>
          </cx:tx>
          <cx:spPr>
            <a:solidFill>
              <a:schemeClr val="accent1">
                <a:lumMod val="60000"/>
                <a:lumOff val="40000"/>
              </a:schemeClr>
            </a:solidFill>
          </cx:spPr>
          <cx:dataLabels>
            <cx:visibility seriesName="0" categoryName="0" value="1"/>
          </cx:dataLabels>
          <cx:dataId val="0"/>
          <cx:layoutPr>
            <cx:geography cultureLanguage="en-US" cultureRegion="US" attribution="Powered by Bing">
              <cx:geoCache provider="{E9337A44-BEBE-4D9F-B70C-5C5E7DAFC167}">
                <cx:binary>7H1pb9w41u5fCfL5yi2SkkgOpgdoqRYvsePESTrJF6FiO9pXav/195HtpF2qckYGYly8dd/KNAZJ
1WGd0sNzeHb++7r713V8uylfdUmcqn9dd3++9qsq/9cff6hr/zbZqKMkuC4zlX2vjq6z5I/s+/fg
+vaPm3LTBqn3B9WJ8ce1vymr2+71f/6N1bzb7E12vamCLH1X35b9+1tVx5X6xXt733q1uUmCdBGo
qgyuK/Lna2cTB9+zMg02r7ffo3++/lDHm/L2lZPVadW/fnWbVkHVf+jz2z9fby1DX7/6Y/ptO5y9
isF8Vd+AmFlHjOmE6rrU717k9as4S72HtzVC5BGVQghish9fe7FJQDmfozt+Njc35a1S+GF3/79D
v/Ur8Cz++q/P4Hp8FuPT9wDEn68/pkF1e/PqqtpUt+r1q0Bldw+r7J1s/KEfr+6ezB/b+P3n35N/
wLOa/MsjiKcP9r+9tY3if0H4KlBR0Gf178fYIEecEVNQi8n71wRjSo8sZlqmbk0wfg5P+1HeWWEG
zjs0B4Y05HzT3JYb9fuhZuKISIsSyvm9OEMfbIkz1Y8soUvKDGtbnJ/F1H6sd5eYAfYu0YGh/VcM
dXmzeQGs+ZHQDUHFD7HmU6zpEeXU4BY2wf2Bca+5n8HRfqCnC8yAeUpyYCBfbdJX9m2ZbsqbIM1e
AGvjiOiCEYHD+u4FRb0l14TjmDZ0yeU21s9nbD/kT6wzA/knKA9sAzhZXKuXEHKYX6O6toj5hEKn
Rzp2hiUNcxv5+RztR3xCPwPpCcWBIXyVxZsXEW1xRE1iCM4fRHtqgcM60w0pTH16ZM/naD/CE/oZ
CE8oDgzhv5LNTVa+gPIWRwynsE6FMdHasMY4p1SyB+8L0G8d1LMZ2g/w5AfNAHhCcWAAn6T9S5zN
FuwwalKdG/vdKzIa5dKy4EVv4zuXn/3oblHPwHbr8weG7F9xHqQvER4RR5aEa0zMB2yB4LbdJSHB
nJsmh2xvye5sjvajO/lFM/CdUBwYwufZTXb9+3UzYiOG1KUpiXUvvHCLtwCGijYNCvjJJDYym6H9
+G6Tz4B3m+DA0LXrqnoJ8ZVHJkGsQ39KfCk5Mk3DIoROjt7ZDO1Hd5t8BrrbBAeG7kmS35bBJv79
4svoEZdUmAYjT/jF5hECm6ZJYH+NrwnMz+FsP9I7K8wAe4fmwPB2MgTmR2dYVS/hEosjnQgpGeP3
Knt6JsNhIswQJicTe+u5fO1HfO8qM1DfS3dgyC9u41cXGVJlv1/UxyyGacBdGrEfXzvhTgOhEoMh
3DmJdz6Lqf2Y7y4xA/BdogNDexm/WmQlnObfjzYSGZxKy6Q/UlaIa07tMog/4ibmXsX+LNb2Y767
xAzMd4kODPPz7MWCYCYX1oNs7wj3mIamQkiuTwLcc/nZj/EW9Qx4tz5/YMiukJ9/EWytMf0MIwy1
BPeviSgDWy5M/CGTEPZ8jvajO6Gfge+E4sAQRm1EGqh4U79E5pkfWYbOESt5CGPvZJ4JEhXUgNU2
scqex9V+pPesMQPtPVQHhvg6vk3TFzid4VdT3SSS7oRLYHtLQbAPJkbYbE72A7xNPgPbbYIDg/UT
Io31nYdV/+ZyMNjQAulE/Snf6q4cDM62pU+k+Bks7Ud4usAMjKckB4bycZ18y+Kb6vfLr4G8k7CI
YezKLwoNLMJ0lJX8OKsfR7Wfw9J+mHdWmIHzDs2BAX2GypHfDzIzjxi/i33ee0hj7GvLhYIsj4EU
wihc6ccoz+VnP8Jb1DPQ3fr8gSH7PkChnwpuXiAewtiRFLrJ2AO6u/By4M91SqY1Qc9iaj/Gu0vM
AHqX6MDQPkO9+EuY1qjRRkEnNQzzSQfKwntIYkwFeS5D+1He/j0zEN4mODB032yilxBjKGFkLxDX
eMpvokeSmMQSfFKxO5ef/dhuUc+AduvzB4esUrcvcALDzDJQOSAk2ivuXtOqzbEaG28bwpoI7pvN
XI6eQneLfha+WxT/AxD+NYtbP3lsvfjrh42zp2vmuU0zKLZF1tiS5OmmGYtwyonxEPL68d33Bdio
ef/Z6HNvd+3jaT+yj2m3fuP9T/z1Q/kf1xTzJlOv/kq92/j2Jc5V40g3KWXix7k6TSSicGsMWBkc
6nl8TZLHz2RuP577FtmD69Y/oR9sH9mBYX9+m6Lk52XK6eURGQu6OH8oG5i6RpQhl8gtxsZExGPX
6FlM7Ud8d4ktcPf3vu0SHRramxu0RL2AF2wdoSEK4Uj+UEC/A7V+hL43Q0BVT6CezdETOG/TzwF5
m+LgEC6DFzCyGD+S3DAB70OqeKrFUQ5ionPG4nISsjzfzGToKXwfk8+C9zHBoaF7W16j/db57Q3K
iGLolrR+poZ34IWRLYjEGW3sO6TPZ/P1BMrb9HNg3qY4NJwhNHn2Iq1OHEAa0NPiwV2aamrEK6Vl
cEHhLN+9pvp6PmdPYD39bXPQntIcGt6o5bstb/sXkGzryOLW2Pb00Ku84x2TI8u0DItNG1hRhTGb
pyeQnq4wB+kpzYEh/SWLX6aQCxgb6E1FccdW+gG113iDE+SbtgV5LiP7od2ingHr1ucPDNKLTf4S
JjXcYolwNOLNdyeuviO4aDxHVEuHJt9Gdi4/+5Hdop6B7NbnDwzZq811ibkCafUyImtytD0ZGBRx
94IPPJVcCDT+ILs4viby+zze9mO9Z40ZiO+hOjDcL26bzYsMk0B9pUU5Kj8e3OQdmUb5FkGTuSEn
aYj5HO1HekI/A+UJxYEh/LbcIOD5AuYWQ6sM6qWF9VQrI+aJmOhEtqbyPJ+j/QhP6GcgPKE4MIQv
48317cv0maNAesT4IS2xT4b52CpF7/X6JOA1n6/9OE/oZ+A8oTgwnDH5BP1P9qb8tnmRyKZxZFB9
jGs9XVdtScEMgukgd69tY+zZ7O1Hff8yM8DfT3hge+AyrjFh8AW0OWIhzOLoj3kAf8dG04+QV0Zj
M5sU1c/naD/eE/oZQE8oDgxhbGOMfsLwwZewxDFawsR0GOQvfmrsHUtcpzpKOSdW2fO42o/0njVm
oL2H6gARf1MH6tXbb4HKXwJ2E/4ztWBui3sHexoJHetGUPaHtvXJET4+/Gey9jT2+xaauQH2kR7g
LlgEt95L4I+udoKMFjrbJ543xrwRiwnMgXtQCDtH+qvZPD0N/PYSMyHfJjpAsFdwzK4DdZ39eOZ7
inYQ73re+F2OQnxd5xgN9ISCp6ORh+GtbI+k/+Rojn3xNNy7y8yEfJfwAGE/zTZF/VKJawi5QQHw
3WuPu0Ylqn6lvI/J7ITZ0lfPYO5p/KeLzER/SnaA2J9jlvRL6Pe7TCfnsM3vpX7HeEcAnQqUKBl7
MJ/N1NOIby8xE+9tokNDO7gtX8RJR6ekpTO0U92HyndzJfoR3oQbjwGP42sK+Gy+nkB7m34O1NsU
h4bzXUzGwTD9zZxD89mn+Vgtikr+h9N8ar4h5TmO0kcUfeKUw24fR+XMZesJrPcsMgfwPWSHiXpZ
Dy8AOgoMuUEM/ccEuR3QMb8Voytww8Kujz6CPpOrX2L+eI35kD+mOjTE/Y0aH+7vLkdDSwdGPcIF
Y08N2KdH8M90Af/9h59wX/R/NZujJ5Depp+D8jbFoSGMQTTJCyCMyUMGkxYKHJ4qS7rzzi0DxWoT
hGdz9ATC2/RzEN6mODSEx6GQL5EnQ/U/oxS3ZDzEznc0NgrPxpncO7nuq9kcPYHwNv0chLcpDgzh
D7f+5iVkGFoaAx8tdPc8kRpDTTjGgiJqPt58tGt1z+drP84T+hk4TygODWcUvuO+qhc5jjl6oxFG
eUhx7vGkx0I0pEAnjtWH+Sw9gfFkgTkgT0gODeUal2AkLzKGGz0eAvebQCPfievoJW/nwXRYXZQQ
QRFEe9yv9eEZPD2B83SFOUBPaQ4M6S/1t5ewvMauPII5cZjyd/faM0LMRBu8gP29jfJcfvYjvEU9
A92tz/+/QPbpG+p+XvW32FSb5d0lgY8uqfv1u3cPB3cbTkgfxGlPsuMHBic3f742Ecl8lPsY19iS
w8dty/fy+Q/VLVy1P1/jqkHMHhqbcXVMcDUxDxALtrf3b1HUuoyViRgxJ9B2PYZFU4yZ9f98bcC7
JuPgSH3stcZwWBhzKqvHtzAcGuNRBDpG4I5h7JwkP+9vvMzi3svSnw/k4e+v0jq5zIK0Un++JviO
/P5jd6zqpoS1gDkMFjoWGKL2COHk15v344gNfPr/VAPL8qKuu4u0ZXLZtK6f2xkLeeREvG3eWZrZ
n4Zdk0ZLXY+qL1VmNB8jQ3WFrWRa/P3o6e3jBgfblBtc94SxIGh7wiVg4/H2mBsj7fNI+nVzQYuU
XHjRkLp2zTPLd7qmyqTdtEb9hTe5FthlIqrCKcIy8mx3UNxwUEaW3siq0t9iDb9e0DgmHwdTE2Td
W6Z7S3qNdKtfc0zhHe1wjIYPTEOQJseAKX3CccB9YNtXF6wzPW9hdUP8scHFN2xV8T4z7abvSLgI
uCvsgVt9YPeRztZJU/ZkUTZZdeN3ShEn0HJzoXA5Z2NXia83Ni/NyFt6WehfRrU8TZT01QIaRn5S
fnEWxa3ZLQOlWedB6TfJ+te/ahcGFNTpmEGOscPIzN796Eebgvea12p5rC7SypWfMk8QahsRxdbI
07q7bLtSXuUuiT//+mvHvfZ4L6LbDdOtOcPNUGh7pGxk69HXmnrnGbny0otUDOSCRH59karSCYTr
f/r1N0F8dr5JosSEY0gFFLOY7LM8NfqhKP3sQuS6sSnarIzXbiV6ake5v9SLOh4cpvcic0Jmtsl/
2zTjptj+odgouFzFwIWFmEs2/Xp0DwW+lybBBS8ic5OEtbmJ4pEHc0jU0iqzzO51QL9u46KldhFl
/LaKpTppZW+86SxW6g5rwyxyQp4mH1mZU7bwRd/f5lqTL3RtSLhjyswoj01mDbX966c3TjCd8s9H
tYESPNzEhz6YbaB0qzZT03S1c1K7ySYoK+XZRIuq1LBZ36feaesH0TdPyPxNNxT+ysqMLnAoafj3
ig9D5vS+xx0jC5vboGT8pjFzn5/+mknD3AGZGQybaLShkXQyOY7Xx9vJKkWgl37FzkOjyF0pFpX0
h3VXdUyuqqaunbIr9HdN0pu17fs+d0qSrhUt83Vs5NSJ4iJ5n8dm0tk8br2/2zDJTnpVVXZuFvlH
S0Vi4Rap69RZGAZ2ULGwtd1QpRdtrqm3hTawpecRGdra4KaJQxs/OTatKn5PQ+/S61PW2XHNi4vK
LT5UNNHYwmooHmTQU+gGox4GW29F+Cb2TfHF1Wvj1LcEeTN4XSOdVveNxMGmC040UfaJ3fZiWJDW
1BZD2F3nqqiual3jvt0mFV+5qqhPDJfSD4VP2mjtco0E9uBH7jcE/svGDtJC+1onPFnkuaInUZbm
J6SQ8U3Q5BbkniXRVSDdjttNYXinpVvWTo/nsCYGlW+LNumWRlsWK0I60ixjjLH3nKb1ROE01HeX
iWLlos7lW9/VPH1BSFYd46ihrZPqoWWLisefu0T3z2gp8yuTVea6lqFGV8pKho2wsnKp9C4cVk0k
vJXWdfqGqrj9rrw8N52BVnptpx5tvFVXhRmEo22XvdfUYlVmrr+IK5Ycp/iojV7MMsODThpuhyoM
NYe7Lbd5ZnaDbVSx67BKS5N1aUVLz6h7/V3LiIH7jks9tkPspGrFqlaqdcd498aKhiF239VtUSWJ
3Qdxn5Y3vutTOnxRrdbxxLdlCVWeXdM+CStW4sqMus71iyqqkqg7lUExrBtZV+5JUgZBboc0zq50
rrGTsGesdmpg4Np9ocsOcCVCLFLXxXlYxVFbLK2o9XSnjCvivvUL3eLZcdTz1l/0XSyrN5aqGHZU
62ZEtU6Ns3BlaX7ovm0gOpbnFCIX2HAsUskqjYNS2nGBw8tddk1gOZqLGl3T7l09NXArgpskji/r
1l21MY+TpXJhFazM1EsGRwwmNGZKI6N2Er/UYrtRvacuVaAlyTLzAvFdqxse6As9o9U6MEQtLkzN
9dzTlPGKm6GTdqoY+mOFsQalv8w9nydLVzVDsZKlSoNVH1tJf6wrleSOSfs4cHhn9vG6DIpAcwAr
/VvLk4EsMFsuShb4T9fexqGuKTzyNP07TBKZnLBSVvEy8ivr/VBXjK1CLaPkzG99xVOb+9Sv1m7Z
5OkVDmN2GnoDjVZ1Dg6WWRV7w1KQbpCOCPu8PU9Ej62tQVTKhUtIfVoy04wXnsu8esHTBnAGXME+
SYeQDbdxhAjtQoCBZMH6xC9OiB4Yx17AI8uhUVSwRZAF7mKo3ci0tbbM5WXotqHhsKAIBzvJw0E7
093YWJHc9UywK3m+JL0/ZCd+QFpvGUnDb+3xczaRgUyxfTxWOF0baINddYH2tcRtYr1mB5AjekGG
NBgCWzSGxj70cUvrCyuXfbZIZVGdm3WKI8lTPAKBTBielhv4JP0ykDj1T4s+ibuVas0hOCOVV30w
QmpuzM5NXFsQbN5VnXacLZU1BGC+JmGyiFkRKUe07jIgQfElbltYFqEXNlfKtNpveemz44a3nrsU
kalTOxUu1jHjLOxWadmQi6HLmfFOVSb5QCoNn2gtTQmnIj3vlg1NwuC47ChtT1LuKfo20Lj8lOrF
uDnDsFBrHitfXXa9UQlHL1pg47cpGMsUlO4ZTjD5iQkduzuBliwXaNHvspNKSZdehmUdRe+pSKVx
0hlhW59XXTUan37fXZqRZnXLrE3w1Vk2DI3d0aQa1nrExx8/st5CP4GvPCEXhpniV9SFiUflR1k0
ODJqIDp57EXBu7TkEPmyhlXg4T3oVFql/tuCGH2Z2iz3dcDdll19nmh+ruxAr4tu1aEhmS37pqCj
0oAwOfhFUCCdJKOdXKXJJxf3EpyKJgiELXwzwr7oPWvTpgxsdGXYv2dVp6szD2ZueJblaRReCZwW
a5Xq5KKQXvHF0KlV2L7hB/Q0E56sz1w/85pFX/KihYHbs3VO8VgdnRf9dRRH5mVXKz07LvS+if5u
rcRTx4mrJd/7QY46JChifwE/QLBlQHtfrXIrkX9rupuskjb3CpsbUHN92frvg6xSZzKJQnNh0pJ6
UHu4WcNufCo/laHWeMuYphCTQXOZPDHSjBS3CRRyf4rJzpCNdtTYy9DU8ES7ZmiWOGTa4oyUNbUc
V8ZVg5OWNTpM7yL8WspGftB6mOmng6xKclOptFd2QghvToKWYqkuIf7gGK1neSc5YGkdLZLWasia
pjrveh5fhY0qbMHVsZF0jXk8tBbAiXSihnUeR1l2nlqd8UardCNb+kWaNGde3+a+I0yV+B9giagb
XaZQI1CdqrEjX7XKlm0jCpwCfXEVewUJPpNsYKKxB1hg/ce8YprEYsotlz7XIu9Uc/P2m+/pWuPE
XFnRSSB18q5Tmjusy7pQwTIYamzSgFYhu+yieDAvEiuPY7vIG906N4hvdE4P60YtWz8Haq1IA88u
B55AdygVL0nHunLRxFSU60EU2P2R0Xl80bu9rhw3V1bxd2v25EPol9hrOOnkJ+z1RF2mMiVQsDSX
4UokvtXaXf2FiroVxI6ihn80aVq0i9b0KuPccGPRvC9cJUsc7tjRyzxgQBOOQ9+9CVgVZW94mfvs
knZ6bJ24XSbxu7pO886jUsvbRaJc6AxYY3V1Hscu+C9l5K2ULyJ/0Xa6ftIXBuS+tywe2Ibr8/M7
q/QhdnF5b+TfO+DXWd6XgedXk7/+50OW4H//Hml+fuYuTPHP386D6zJT2ffql59a32ZjFlZNP7S1
Mr79gbsxfLH1l51QyhPBkve3qo6rJ958OpLys016jDSgqZqZuLHskRG/E055mHz9OALzD9nPeAou
L0SeSyJVDVm7i4z8iKdglIbJJcLi6OdE5MSCW/IQT2HGETY15Qi2SsNCGzccvh/xFAzFgo16P7KB
3L3145duwYkY0sPfH8dTpp6RiQwrroRAjzhqnSVuuN32OTpd85qyTOuLoY+coqxtT5l2IJL/5oHp
e1x0E+VXYxuUTnFD0CRuQ6CuCis08gu9NuXHyC80y0l43A/HqNUxS1ixaW2cKOUOVyHFKYV5Bcbf
oeDelzwLxWnp9fKM8ASWPSIN3aXfs/eszxqYxr3H1VkThYp9bbrCEpetWzTNKiSZsWiMJrCtSIvf
tmGsyDLI84zi2IvrxhGa54Z2oNz0cxD1cmmKodQXKr02Y6O94EYevzVqPY8dkkdxv8rcjjlxU9ta
rLLW5kGbsbd6Q8zoTROHb8sqamHxpB1szks0/92aKr9JCw+ejP6BN8Ux4lVrU7OyNdXxK7Q8WErD
XclkaXbJidv3xYJFSbBQJVnEffHdF/77ITcuCM2/16y5iokHRWaU4RceZWohvag+13heXhSwRE7j
QJ7nMomXw0CVnWoa+27AszuGRtARFCnyZdK4hR3EmrmkrThnlbxQqWoXAxXNwgsGuq5S/rEn2ueY
+sUCvrxZ2lXlUW7XjPrYFm6yRAVdsEToEEtUdEUiq/xYGhXrFpZI/ffKa7RlzUm5lJ3efTbioMdT
pFllq6guF4ZW9ovQHN4XViVOfQQiLx7J3p6tvCe0heVMDNMeL6hi2Nbbe7noy8LzOlFeqGWyaUub
XA1X3NbswqmO02OX2P7CWyZrviyXqW2eGiu2pMeuE/2XvT7x4wUa8hEPRO0ZLlvREQ8VKEF57Meb
XdnWnkKwxqXeaR/7nRN5hWvnrUFxuEZyWTQuW5XUKgPbFfq5x0v3lAAjKyoSp+f9hXT13hZ0+Frh
RFgpCuuiqvKVK4av3HRNO3Q1H0HE7u8izrlNy6J3uArZomtdahM/TGzT75Y9k+uWpE7oDk5hCNce
THk8MGL3lK4x5pjYRVViU0jDaZL0OOyMRcaM0s70fNm23hvqRr4dpQFZNHlgJ0moFhDii7aTbF14
YWQr5n302uyYsOS87oRuayKHBYmNxmVhrGo9vPo1xNtKBE8WjbUWJgKO/e/MYnKiRORAW5knbnmh
N0m4hiKI8eP11NECf2lmgWEbhbf59VeOqav8n9jX7ndO0NS6hpdN5KkLeCZfTLd0utrLFoPiMJLq
86xwdduzytzmReGYsapsE1HhN0NZ+7bQzDdZID7rAcyqRmnf3chY5UVxTjPrne4O16ZXfE3aoFgU
aZGf3TH+u0/u/3lnMvvlmXzf+Famm/IGQyt3j+aR+ufRPKY60Kg93uvOTGIC2p9HM9rwUS84XqZj
8NET+edoNvEORBwBOoymtPg4sPCfo1kgpo5L5HH/Du4ax4LPOJoRn9zaesjA4AoIXOXD0XoI55GN
+dbHikR2ppbj4gD/QoPzuzCbpFqKoWcnVtMXX5sSPrldQYRL2+o1zh2kH8zEdttChR/7MAqXcrAa
qP+SGgvsL6/TbYvrzbuuFVm/qZHfKaERu2Koqd3FTUhzu2DI4XQLxGAhxBEnxXCCEH7pqXWVa7F/
JaqqtUuzwsGZaly37MEbwg9JFjcfjcoLqRNHen/lEwFLlYahv8pznEmIRKjj3odfEJs1/5SSRqvt
PqyaT3kiRWczMx96x0jhpzuaKlInYrm4ZFGTf2FJEX7RzNw8xt3AFcyCJnbfwtLyhB2LMDgfVCEQ
wnGHxHNEYLmOzOhJ6umJk7CwPkdAMbngVtq8T6jlL+ERU8MJEOo4rjXXdOq4EF9pmnRwaCuZDXZT
1hbCpyIwuROSmL/XiMgGZ6iS4Dgu+XCdUIQ9fc/oVer0emGWdFVLM8xd22B1lJ2IhlVrswQgahF0
WvOlCkpCllHjNksjJLWfLkPpu4O1HCh8utzuWzYM8lgiZ0GWfV56a65XwztVNuFXJlP1TnLFV2GM
tIAdK8P/ADfzQjKVt5eZhqd5mcKC05cenNbE8dysLk58ijD3WxHQ8EsUK/qhk3Vce7ZVR6HdpnoQ
H+ssrXAyitwNTwpSht1pwgOjvbVa4d1KjGNdI9bkruLAz8bzAee/0lRvJ1rJF5EI1GefkbxEyFiT
jjVU9wfo/2qucfjWz8a0HW/i8c2ku3prpP2ht8b7kseBAkwSghq6MR3zQ2+hpAo2NopjUeeMmQSP
XQpxRPTREcGwZY4s7ngB2A+9hf43WE3odLTGGp1RpT1DbyEzNNFbcGqQosIwSGQS8WfME2/prYQP
Mm3M5m3cBAimO2WR6adxR4zTdEDuwQmtBArKozbvtDciRS4oNJPGbkNr4aeabpMq/NB51VkkuqtG
7970Lgnt3LekDT8bAZNgQBy6+tQmMDATdmIGls1iN7MLod7mXXdq5bXldElxEgwxjHKlEFH2pO1y
2a1Lxr4z4VVOC0Vj67D8HTjldFlGWmEPAlZLGArHiBGfl8r/0lsuNn9s9EtZ9clCL/MPhlXXtlFr
1EHG02H5oDt9W9mGVzROmbp/x5IsKmr1TqnUwgzabxA8WGxFssD9yNdFyAOnsYLPFmJe0MfWCesE
AmAB5DGjny3PWAueD47bspUvSs1mKjmmVmMumkwcqy5JFr3RlAiIdt/6zP2WVN1bPfML20S2O9Bl
4CRGtI6i7kQgZbciXVsib6tltvDyGw9+2aIj6ec8M0Ob+Q1buHV1a7l0uFBRvwly0z2rzQCpJZMm
tu9ZSy0V5D1VHAY8EhNOMIawMtXBsmyjM2IWzRchcRTZNQoFVkiQOYPBg6Xh8mwV90x3YuQplsL3
YSXJIbNrmqrzXhfdIkJOeSWyIF+4sdY7FXazXarIX2oBkie9HrjLVFfBWaBn8VrItrqiZjN8aofG
X2Q6Ao6RivXz3kr4amij6EtWNvQ0wJn9uVFJ8h5+VHHpWzQ4EaTs3hTSZYumj7NTBATh5mqGEb5x
2zQf4+Hdm7ocYmoPie5+60SgCQRwtOIkpfq7KJNk6ftt/lHv8eDXLqoAvmqh9L4bIq6XiaSI6VZ9
vYyEcPqEos4gzGu7GSrsmxKRZkXPq37AU2+XBYxqlRZfkBSQjlbUF6WftseuW3UrnMsdPC1Y+9z0
G9vo8gujotWqSHTkTMtqWRB5hkSKZ0dxgDgzG8bsm0wXgxGRRUZEsOBJr6+ymvn5kgZXnKXIdQVW
dJ5JIc6i2ms+SaRjTiyUj9k+IpZrTaSDo7Tye0dd7RjR+kUn+uA+rfn/uzIfpzf9Spn/FSPQdbOZ
6vF7skd63BhH6groSIE7k6HiH+lxXBuFdjXGqM5g//1jf6IKD3Ea+JhQ9AaqdPDWP3ocTU0MxVkY
0IrBcLiC+Rl6HNGpXT2OIwHnC0c2CjbvRI+LzitkLfz6bRhU+amIpXFept2ZSGO4OnX5yYIyKsIq
Ok4zHg+3fqYK7V3d90j/DYGDzFP8Tvp5aldR/67yjNNMJdmqiFVgk6FHyUhEtHUQN3Dbcn/lRY1/
gryk7ni5a9iIHHu+I5siXSU8j+ur3su/SL/PbA0Gs82RHAqdnCrjtOm04dRE5AUnTT9u4DqOFv24
pSvsbU9ikwfjdu9Jho1PInkCawim5ygWdBQQcS8qV/md7IhRjPJRoJpS0xd8FLJsFLd4FDxqSUSS
IYvRnVB6xDFHMTUhr2IU3GYU4SYeOlsbxVqNAl626oKMIl9B9kvogB66wNf7BYVu0A3vrB2VRTWq
jQBRcjuEJmlrVS/TUbl4rlYt8WXed7fNrK/9EDbuqjAL30a6HJlMX5FjWdbv/YhdiVBP65Pc8rXq
XUDS4hgJbyctfOu4MGGxXlkVjHnbr13e2Iy7xpqRtglthBS+R27dngR9Vq/rNIoWQ5Je9qG6sIz8
NI39i0KnZ6LSVplqT7XEWmQDotDjARoOjhnkN21K3weV/PK/PuxdXHn0J39hCW7iDW4s26ip+kA8
CYQ/1Qdm5o+V9ZB2DOe+M7N+qg/MHZKo4YSFiEFy5ji690dkWRyZ40BJTPNGOg1ldHjrH/UhUMYN
l1egUGbULc9RH6jxm6oPjEsYB9lZ0FeYdcYn6iP1RNPEjcje6nrsHeeeu/Y9Tdgla89q3vTY4/+X
ve9akhvHtv2V+wOcAED/eGjSZ3kj6YVRkkoAQQOSoAHx9WdRmj6jthP9fLsfFFJUZ2ZlJoC993Jg
+mImpvYuse4+NtNdKz0Imdrm8wDgMMPQcahX4eexO6wpXwI3kZ7o00l4NpHOwjIxRg6Ql8BmzmKa
u57Hr8K3Q4qOxE0NsWfwsZfB9w6RikHDOWLfr91rEXGV2j662mHF3lIVxsF6PPFGYuj1/JONyibh
XngNmPfMfezLsYzu4yWssnYo70cyvDGgPKC9+Mvc+F2yQB4FQUA4p9Vsr0EbvpoCvDE6+A9xrV4D
M5/jil6WsH5y/OY6RkuXgiJ8bgegRw6F1KNYzqH1HtpW7ih3PrLSpBzg8Uj6MNVDd+lC9QFwxY0r
GpkI3+xn47cJFsXbWEdAfE0tEicc8zKwIsHBW2fuYAJoIfo1j6J2yud5XqH2aW6HxaB/4O5BCVYm
Zplulg3V5nahe/SQOxn0D6aaJbpbYIcOs3duEXxhY/dUTesOPFeTuLy9M16wW0VzLEEbo7PWd8EU
Pou+4HnnrR+CEod8ufhdhtt5qrRuS7Vzy1VnLQv342DvB9OGOyrqk6H1u7ANaMeRPQdioKBJWZEG
Kr6Vc8hu6iI8mIg/9jeeOAaT3CRG52DFFAE0eleGswLoB0pwtDIf3XEGRRh9EAEapalvWVKrck+b
tk2qRn2pwkBlclxlwnq6qyMQfoTn67geyhXHIBDOz8PgviPv631RhB94791sZKmZew6B29zkcq29
F9evoAtZI8wvRYmprj81fnCsfQoFgtgNEa92FOKUfDWGpYwH6z6aOhUmrT+N+TI792W3fI1ttQyp
T1DFyNDvbe9pFLX+5Dk9A1rbHeJAiUSxDWmJwiiDEe7AHN7u1WDeIJt4Ql+codPNyVYxsXSxjuJX
5c5uKvpxfuw92udlzE1ehRMqMqjBlNqJ5mPdofX364d4hvyTFW4Ccd+xjYNLMWuaNNUgs5pL7IsQ
/W0kO7pze8USDHpk59RunRLwr+eVtfdAob+4fPHux6J5iAaPJJvU79hpvBcxLuCX7ZRrT9UJJ/ZW
KewU2RjgPaK7K0L/IhpCso5ILwkkPsA2+DSO9KTVfel5XTIM0V0UNcXRBOrGFJjk5nE5xUx99XQN
qGqVb43XdHlY6SpzjFNlncX6WPwe4s/e55mwzt5dU2k/Me5+nYeLlEdQN3mpgJf3BZbB3BRv6yZ+
YGt/LWxF0Vg7j6bzDi0VDtoY8eLw6r2asGVYq7C2O3+n4/7YOOBwYqj5QCLXTxDVfYtntaTcYN25
dbj3VMtzD1pCED3AR2betxeHGf9K2+bJKZv+xswQqUBGJvMwtkVm7OykU1GolA9EQeQxX+ehihKo
fGRSx+WjGLCafY/T41BLgQEL3zikKxCArvZeFV2AngrQvm5mm3ar8+BiyskIXikRFuSDMweQrlVV
sZvXUWaqH70DZjIze+JUQemF2aO/bzz3XCv9SAryVPilyiibTwWy0XJgVKZMtBoGiQmbDh+q2NdL
Hug2kKme5HmaZnQC4+w2bFcuRYu+sNQYDbnwLv/0BD96Aqhu/7wn+J+6K9v3P2gI8KhfGoKNT/aY
C8sdQwnH3PDTPIFeAUwv/vsh0Mfw8p+GIIYUyiWAwEG1/qohiHDlJa48RAYWbnXBtPH3pPu/IcbA
pkeAnqCThuoTvyfdupKfcSE+hIuUblTfOrT/yEtAyXaqP9PVP9Y4oxMZYBwdpjwEik1mjPUuv8Qr
CKeogWppAZ7TlH2TTNxJh3BiO+6THVHu41LOLI9CNaUzXy9kLLLAUZCy0fGljFiX1rS+CL+v09kZ
DnWl35rAoDxQ72vBSp12DrBj7puzieav1UT7NAKInWEyy4N19hO6tjYnk1NnQ+ObDGKPMQ2neEq9
lQTpqNp116r1jq2+nzFenyfjuwnkHh9cSHfBJ69fFQlOgMu6rDdtl/BZV0nDXXB0UDq3YXxnY/o6
F5aj8y8rSHudJalDgN0ykGVqecdQmniBanN0+bhbQ1UkPXQwCVvMixX8OobtuSu6s8B7StRaDknD
2MNSVtmMypBXLbsWlD0Vaz1iNpkanOUudPt6hjS4Qkfmee6hcdcyLaLuFWS8kwZk5RNP/bkv+ePI
ZPcJ4rOX1XrLedxANnfU+5ouUJj2wyfDoTBqq33TLQGAMR8VecGcNrkgI0URXQVnL26vgRGVy62D
qybyqppsxnzLcxtD3MWH2Nk7anpwHfHVB5K3h9AtpZCvnVXwNpo3aPx2Xhe86dVV+2kg+3rSPB+6
pVEvMRXtY03qrnovuf26GPDmLkH5+l5zq0FE0dtA5U2B9X0kY0sOZmTqlg1FfOs1hT6tcZF6Maat
JQwO44CyQAQpU+HF640rLXQ1pWqWPSTCr0u7ZGHZiKtr1DtkQ+xAFI/7ZAgiYZN/zrnv59zGsP75
OXdVuG7u98fcd0fh278dSkhd3YyIYOfA9sf+z8cc/RcuoYKIHlaFALGsIPv+fcx5FA+C8j/87mn6
jrX8e+zBTyDX+x4YE2+GGMAcfwM1+Q5u/4cv3iRDoPwh4kcsJJ4LCZK/PuR61UOrKWCD6SfpR4e+
WmD+8cNbykoxYPc7hWPzqlNLAG01wOM402XoFdkKdSYAUdLQ8XEJKI+/LZE+DE7rFm9d1UgCTr6t
nTPetIZcQMiV5tw6Dr/zwNFDt917opuxa5iZIL32LRTHNYSgpUjCNnShbl+DYExB7MTRmgzrFGKG
ghhZHEKADX1SQ2mYuAak+qHHhoTAudGYMPqlHm65V089NvS6hDmPiAqSKgoyYsfJeffLeNz/s/R/
lHiMwH++9P+nefuqht+v/Y33/aXEI3MUdRwyF9zRxCJcSPxTiadIuEEqCqrsbxDD6F+4q4mAP/7B
7vxszsMlIhTpd2C5fxBG4d9Z+2gxfjvyb7wPgSsKY10IHc5vxBKq823lr4W+JbX7BJ3SI9P+ufH0
fWUwdSxbt8kJHB7UO8h1lVmzdaTF1puOZioS0nd9Eq7LlEHz/UA8a1PRhTRZvDFItKUYvbfmPsZz
taESeY3p5BjzgYEdqh+HrVe2rYoSqszV6dFHN63sUlAGTuoYv8jCrd+uZ+Ykw7j0NwTNOO5G8q/h
bNuLZGxMVAAEnxeoLmxr4zXQvmjr7AMheGKH9km0EaDArf0ngz72mAeKaOS5riAMD73mHfahF1gv
nKRm/kFhmnC2saLo9dVug4b1+WecHTLp/QkMEaaRdjhKeqHbhCLeBjcdY35QquDZMoOXBzkv8YlU
ddbWpsqY1V3eYfJZLDocHBhfJ8xEdOyWJCZ4Q8NcHDXmJugBQC23uWMvE0Yq40WffIxYapu14tUn
Gc7Jy8CHu3Kbx7w5gonS0FsourZZbcppRPCVuKFORs71MdxmOyjAHtg27cUY+wzGP91G0FNvE2FJ
Bd2xbUrU4Yx5MUAX1xVqzOttmiyqhSYDiS44AY/rBJmOD+GBjFrgDBrVdptKexcOsEgDOw5iWHMg
Aupzvs2xfCRuWmC05Y6SCeiifU/kSVfhkxfbN7pNxM1aJSMqvpxFnCkmqqSDJSPpMEQvZGZpgLEa
d39rfH/9PnYbmVYFbcld543tY1QAYYkGjU5I3Vpv+FKqRR3Z7Nxhgb/FqlTJIHl7EhX9MPTzdYCl
JHMiDx7JxX0HfPI+h+u606PBSKqj4gCXx+cGWzRR+FXSCgAzBqLp0Wdcn5uInGYpP3Y2PtueAjpV
Yq8W59Kva5doAkRj5BCqqaqAzELrm1FabJ/5SfDicy/C6NC68NVIp3ksrCsSw6bX3g2PVT/yQ+Sr
EwDcGh1g0Owi3R4D7j8PgojTPLY4sqV9xHMulx7ULGT2SuUjlEvpd0vFPMAbQ+PtyzOYmUlQBBkt
vFetJNA0C8ZT67Y9aTaZ1EBskoi1RM3Q9Zhao9UHTgp+aIUY7mTgx8ni9plpV7qLpuYFQjaZ8FFA
xS4xoTJV4gvq2ryoJeCBsiqx20d21OUGeMhAZAObjsRG5NhH4hjSot4H+F2SPnDXBMfimERQYms5
2kT10DiO/UE6QSYVJm0pR9ACtUOx07wxhePCJKsnQggmoV7zKDwz+Ivj+XcSjLDS8zM18uwP00m5
0N15w+McAg2zutkLp6iSFtKSpK3ozWym51IBcwMgedd4033Fl5eoMlfd2A+6ACtawfGbNEq+wBV3
8gw5rFo/jVFAkn5qSUKUcpO4NpdK93lIBrVrViB3bDDXYnDvq3atc7PQPGTdiU1Tm6x6+ub5xaeS
01tYD2/glLwDe4zxZNafi8IHX1jZD7VAY+31UZTDFvJJNyHk4gB7kpF1T0p4Z+N0Kp9rrBpYY9fq
xUVXcii9oAXguk32QsHUtc36/5Tw7yV8I8n+vIT/dCH07+v49tBf6jgipNG9gsLbHJ8u8fCjX7B7
3HcN2fcmYoXEEeQbGshfRnUPKZXbRI6rReDq+e7N/wW7RxxWHAHs933cCva9MfgbTSwoxJ80j9CG
4HwnsIeDZET6NdQiv+5hIbvW0dLG8mZqcuuHsAztvf/mnf/RCf/cKW+v4voM18ICDUCWNj6Dn+GA
vijr2re+vBmVLOtMRaTd3IdrlBYuq3LpwkutYAq6hDyCM6wTMq1tcYZtQz6QTtzXZbRnvigvCyHA
uqjjpzSa6qSmJUkJB5vImuM0i2s5x4duohdil3v4pq69VWczuLflwE9EVhA2YU5OJOnBvkOvmxST
v8JeEn+lBu40OPPww7GC+7WevpWQ9yaAvYIqGYophqoEjzehEycwzhfBaYGXeV8sJszGTTIlN/GU
mSx0VDBrwfrIvBfYfUIYu3z3E0y0OnEgAtyXpBJBLqYeejm19tWrUnTN1g2JOPB402nR75qt2Y1u
glWvZh9uci6DwRN73e3c6MWyPsjqnsFi6NjA31O1AIBMO1yrjkNj8ptxRYcFTeFt1DPniufvMHqo
pHLMdFZOu4+UV2bBVAxJLBjQDsjgDm7tVafpu6werweJvf9dbs++S+85RPgKAwPk+FSi/G0a/XgI
wtMM8OAj5I3e6xyib4og839EsYXAP1IVxP5Inlgg/BdzEaRk0fGzUpGbBK3X5c5EvIx1RqT1VC0p
FN3rcYby4yaepjAf8ZlfWsQnvGnBz2adgcsbAPFxD1sxa3B6wqKY8HpeHuw8nSTBoRorGj/wFXLn
UYoyi9ZY7FQHXYWpYBBQNAv78jVq/PmCr27Ogr60+TC2LNMMZ7epTXmCJV3kIWQc+3GsadrGhXej
xcxmQMR6H7jzYfHaMBOG6XveSZpHTnMt2xoYrgZ/Dc7IUz4EOROaoaA+IPuiyrhL7nS8PI4waD3z
2UTfFDEQj1RZsJjgmyqnzG90BjU1fSLOtOPBuHOYqvLYaXYVKocELZLooPuq9YibMYb3Va4vvXSy
wZ1PsWl2OEDQkto9atF1hczfjccD9Rm0yZB9DvNn4k/XvnF2NaqOCyH4MK1f2skmXH2Be5tmS1C7
e7PVy8qfP/pB+bm2gQfQt9KnEV5pWD7thTUMqBS7QnOVLVP1EfkEGVy86FejMEdnv+MsOkzEfjSF
znkDSKgnfeIWvEsofHpH6SNuApbQDHLbO7zHBx+1LzOl5Vk5FDr1ZlJehRdUqSjY/VhDPgSRwJkz
g8U80n3dQ9ZaFSFWWbOeY2wiAqqFxQPELNEl6tyLZ9SrY8e08sPHifF7SGEvIf49s/jSTPO9iMtT
zSCaKWQJA7wBGYCOXULyk05INtgA+ZvKqT6pin7CIH4qNWCpOjrJid6DNMvg4stUXV99T6Z93a9n
G4YHJH5A/y3WL30VHqAQzeIBGnqBZnu1ywma0vXYWzRUY6S+NmsB8Zdo62zldZv5xq32fdztC02d
B7s6/e6nkvQHRgn4i35/vkO1h3AXdJT4afSb812stNFrUJc3qq/Y1h2sOQjZKmuaub6MjQuUCyID
rsDvNZ19p12v7/u+Ik+RjdBfGvMwDfJCTJFVcfhKzLiHxuAb/JccbvxhyLkErxlsciSLNV1vLFnh
63SRUO95/cyyMBoPs1KfIamd0lLqFxaKPp/p6KaUVCqp23TpU22O8N6E6FzaPZXDnnnzXQ26GF3O
17VuHqdQnuA9Pltdn/qJXcJOXSLN4v0I/DHTa3lgRvipnss0KBy1E57cAzQOM030g7dONIWo8ERE
jH3tcnIpRooOcjDPsoQoJQ6AebCV3XqlbdM+gKLPlNV17uyN0PJYLf7eX8YyK+v+WLQVxIkRDB3N
ZvcfZe7z7gLHIFQuLWy99XIG7npAXRsS/JYWdU1DLTfcVrJ+ADTFk7md6yxonRKKQpIUA0YzV89Z
AyUlmDD57K0eBlNTvmH8PiPjYKNuOwwudgcj9teqJ3vaNX7i0Y+yWbPGDdIg9g4LziFXA3KLwwvp
EdPCY+drQQObwPYKRbA20JM19Oh021k2XkrI5xipdwT2V9gXqo9QtNFU6rXKPcFvXevTrN14Y6+T
4CORBPKiXPD5ZdkP1xp24uNfL1Xgdb9tRCBlgqIePjeooeLftAjSDshumRE8Ukxl5soTJoMfMCu8
in9sgAPx8dMr4CkBBYKHxx1N0GAhFRpg4s9NCJTurQ+ait/UASjU4LacykPZPQyLxErAZBvAzy/z
v35XiDf8L6+6ve+fkmOmrho7z3WcK1lbjIYMhAH+gqr4gXvoPUTcynSM/NegcI8zBDnpjJgI7IpF
pYSVKm0H+0E54aUcPZLCe7ur44V+joQXZg2Rz0HULBmv1nNYex+DArkNtHaDCaupVflkwzaPOqfP
aDdHadiu63GC8f2zauW482wDa3NZfqmxVnNENIgMJ/CabYNMOk/x4+TVdo/z8BkiKnYEjwEv3vhV
hvEBRelJD8MugHYrYb48uEQ4uSToUOqlbfernUjaN4GXDYsPVLI0D0y0WVuWc9q7PEj8eD1j0X/r
9QIkoSuPg+cc1sV7Mla+eqQ6+aMaEgQocQilADvIsQRCOfnHysozW2AyXguWuTUhKDAVTlnyOoPI
SErZXCNh9u2w5OBZsIJJXo0c8RBuB6tbEyWdlVE21MW16yNwQeGBKpBRETePIpBo4DrnaRqrLnFd
sO02HPfw7zUJndRbwPvrQJr7vmvSARBuoukJ87WTzL57CNsIJyKlz+0qDqYwBpqy6aYLUCNl5x+H
wXuPejKlBUiQ3vf2vPMu4VKn/2W5/bc1/htIevHQYjBAxVd5ae/4jbPrz/3LsrdH/xBcIpSe9Atb
4Iij1/bT8sOG9Kf7a7ss5w82WOi64PtgMt1kkz8vddqJqK0iz7l2mZ+0F5Z2O+DT9Oy8hjuSk+db
J728zrnUyfyGP+obUHjJqdwVN26XNP/lt/l14fux2134T3GTS4Axyt/25U/7biVL41EqxY0A/OPW
iCJ4HebDX3/cvz6zfv8av5E92aGZHCGgmVP9Ox8O8Xr/18//h+8BgC48hiA5oP//9XtoTGAdghCR
G+Xc9ZDzDT56zh8n1P/vql3o5/Bp/fn4jmSV8f33g/v2oF8Gd3gvYEDcbnQEucNY8DMAjxC8DfeG
SfHH6P5/g/uWhItARSQ7/ceW8cvgjit/YSVDaJ7vu5hOYu9vIfCbMfyn7Qb6CeA7SHxM1uACPMR1
/Xp1zJ3RiLgR7q02KA3WzMcFnUNGpeuCpux3ykUJHcb1NWTQtGrufRnc6DICGsr8LcVCGshCx0Gc
R0igkpa0V0eSIYks+nuj5xszBDrz4kGlSk2f17j9KEpoqJr6oUJ31a7jCQjGQ98Bopf9ChNFB0Py
QNmlbRASw53wWVexSuu4GZEvUTzDEPLqIzwHcKk1aWCaW5+7t3QJ8rhXpxC9VeVb92hnOC/h3orS
GQc5nG4wI3ffoBt+mBbun1qIC5Fu8DkqV9g27IuB0jipMJskQBKqJPCaNnO7IiUGKoGwEy8LnT5V
UL+kohIHNqk26XQI3ly4sD0DLk3Lzr2pmv5UV56bLMPwrZ8FTYyjAHjW0W3ZDCAWeH8r/bk7mWZE
KEQJ0D5sVIXci4GnMeHFjQ4UyYAY2wD0nP0Wsbm6mb3wiy3x4XZFI+4ZIicSoYd3AW3uVar66McO
MDzWrXvR6uhWl6aBFmvBtwbdYzLwkadVYxbE0AAuAaIa7OEFgb1rQGKHh3HtnnCX7m0nOSbysgYH
4kKUtCwqKRuX5xiJUZldU8NoUbK9FFt0nEUQWmCgkARKibyTgmbUrKDZPV3uPNIVO29x63xoRvjE
ldvkrSsv0Bef7Shvq5Yex5XbrGyib4WVQSLDxssdXbrZOq0yp0W47mFAqHMiBQqdRzFuDD3adAm5
lDTDtI8Z4kIaPiALDkE7D6Dio/3U+SKHk14eCCmKDFpSF45j17mvcWVf0li8094EQVJCgbqLuDOm
cl2iZFU4DR3E9yCPoypPPhDvPWfiaWX6bppImwsH/Kcau8+qhjOoFAEio/rYO3UxkFROt8hDu31E
JUM11L58bpFVlGj0ZId1Qr4jMxwDStHSWx8Wm0R0tkBmBwZQd3CmQ7RAMCAWDxxWOJVfYekPIZIO
i3zmjXMgo9xNfp0XRQuQHKklSRO3Q4J0qyYBpwBfilzQiHRNnQazDO4tNffSTA/B0lS5ZpKC02X1
DdLOxgMCcb6Nrf080lnsxo5O0InVw7VEuEnqGkBBQx8cg3UpLoETzvuoaL0H5kwvZaxGJyPjZCDI
ZYbSpJy6Lwt+q9A6FbA+WSc6Ev3eKdcn6ix0Z2AESskcn1q4KEFDrzSJ5wkyegBcHfLxEO7F87Jt
nZPjkUPpus8z0PkUAv4n2DdPoWzvllCnjhNetf+pCNl5UsH8AazW+xKMF+M5TtJCo5FFy7RcJmje
DnGMfrccIIfhFbkwvJroxHmevW89vLBQMtZXshCazHH4YiPk+JXSRpC0NF91iHA/ZH8dlVzvkZd6
gZ8JwXOb16ltIrWvSoqwo1nACLUqk8ywDCGbszm2GlKhULv+bl3xFdK+uZ0c/lib4hNR08fOw/EQ
kW7Owmo4lwt9M1UQgPfbmHWt+I5OFH4bF+GH3pDPUoMOtNDK1nq+Akx9nQKwbqHj3cUmjBLVhO0R
jjz8nyOB+K6q57Qb1XmS5IDMmDadkQ0hiepvwa4DRUQuWOKYOBvN8K4LYI/+XGaIbQs+Qrff+Llq
zbVl4xflhcd28j8gKsY/lg1gjMF+RsAdpAbKHPCm651gsLY11GZ1EN5ARbAXsXJAQyxpFcMmBkDs
4PQB2u4+k6zETFQu9whsvdRMg4gr689jFKOxdW8o7/aO1+854tvwnaampvi3/yaiskx1OX2DruEO
eZBjPqv1ODaeyKcQBl+vukfkloNaMKW1u57FWN83sZPRUjzVyBAVQXsIJwAhU1M+1SUkCwxSibbQ
YdIgLqRApGBZpxHB7KpjloKkfi+mFpIGN3LWvY6YjkBrVnXKg/aBlIAjvrcE//RGBJ3sn/dGyGac
9NsfNEd41E/NEXzxgJQ8ROLi0MIs8AurAWMqaAkShUCbvO/WpP9jNeJ/QXqFH0E64IN3+NmYCioE
ckEwJEjD+fvG1HBrjX9mHNAcIR4E486WqxNBKPHr5gjxGBy5Z4V3W9kuXI82UI37eRbuWNwiU8tt
GjQ7DjtExbZOJ/G4etxLqsDroFuf4EstgjJBxGmVT/EImNNvyIEsFc4t46I7mdUbXS0H1F6+2V4b
oDBCZ4MOznXDEWlWyDvZI0iKF2PeNdpL5ghhVtFqcWbG6KqgPSyAOlVwwjrNnIthrDMRjOep7eKE
huXrTIP70m33Qd2AGTFZO9t92UNGOZMGIKhU9xakpArUEQpsxPjUCjl9o4NeBPFaOE3tWyyH+yDo
yWHCSQ42kt0xMtbXybNqhwS7NmNFrRAe2X8DQvs2SUgdGwew+/q+GOZnqw+QznF5Vjft1TDvtWuB
4+J46w6eRmTo4AKTqjoqEldBV2ijeEjpbM6uLWXOBvs+RcVuUvOZxsuehvBHdUDzXJ0PyLhEdZtR
SboqHWb3fcTWrhaQrzFJ0KleWmx96yP5cuIFLEwh8FscD6B7WhizukODg8Mo+VTjIBnH9r4byFng
gEFkFoLX/OZ+xlc6bWcQMeXQ7kcY+3dR0J2o33xutQDSExYX1LgLYhBb+H+LNjhBYzvcU4P+5xOw
IM5y7Sre3gNMXrt9Q3HmcFKRD7BkxSoJ5uoLuC4Uy2EBeTR9gX14F7KYp0uEH5fT8o7ORwNMMzEI
J3MYV3HjtUWUw7qy7vpRfFscHHQyWj8GJH4arbmnM/3kDt2JKPuxnCXM9r5285B7X0tmTgvh66da
9FUCex7iaV04UuZhTnwCQtwf7pERdwiHyLkgtPVpLfG24KMDiMij28JoGPSEBcHsZ5MYUVCqIM5H
YLYHG36jUnlIPBxf5hFxd03nsaxG/GLFkfziOyXSVJFL21Efith5SB0lvvCqt2BsVruLFkhu5Mr3
zNEfEZJ0UNg2aRu1JkH8JPoFbaE7gA6WItrNLF4BENO5WwvnwzASWLddirojn/1CcIRXIn9IF2D9
kYaLsLZDHVYh9Bzq1EJ+nghEa049WA4RVN+0GG+7xnubNRqeGoqDapU3ESPnDj7nBH6Sc4sc0IS5
7pxK0PWDAEIvwWPse4OMtxGRBqAN6jeAFR9tqPKm9o9E848uwigerRPAXyMigNnMfw4d8WggIiLx
8qEXXnnsRHy0pj8XPOrOhdIfAvRWUAk+OkFwFG5068T6XpDgvfPsTdMMh0phbdoAvuCOtlOGGN2H
eUZvguRBPpX7QYo4rwygX+ye4JOe9VEwOT0U0SyQfFvv0P+fg1FX/5Q2+p21h5XtL0pb9l7/vxv4
0/9o9McD/6+6uf+CQx/OOfpvx+5P1c3DFI+7jFDz/i2U/6W6bcn4BEwbsmyhPiXfJan/EZ6Cxd8o
9iAA+w3lyt8Z/f3f1DYPonpgDDAUw6nr4SK8X9e2sZikrm3L7lp0eqQqwZpXqTuvP5bIX+B5vy6i
eCcMWnXIBWEuROi5/1tbH+KQKww+1XLn+9jBI9I3vdy306kpEfqiGK/AC4Zo50Z1G6/Tpa+655AN
CAuFRipdECqcVwOtzvPgxxncskgGX8cyQcbLJvIfPiy669ImEjjkt4ld6PqxwwumrKvvFAHgS8MW
MY4967MIIZqpi2ET02B07huTxsAq0hZ5lRnwfky5VbsrgnnHPH/MJsjsMw0avwu9VycK/5e981iO
HMmy6K/MD6ANwqG2CIRkRJAMam5gVAmthQP4+jnImqzOyq7qsdqXWVdvMpMqgo7n99177skVvevx
bT5HIitR2M07zBoXJR/PimKeu5h1iSqZgIHp78FrnmWQww9ztQd+zTNPDYfB15dDpB+6WyidGyn6
J9dpvvTQfg3z6aVZYm1pb/OEmuIbswmuLAiUG+IWO8sNmm0bNbxCTfNQWuEudkS4yqLoCoXovZBR
uhlytSLjjy0/K8fKV8BOeRnBoo3Wza8aqzpQC8m1cDANTxn83crwayt9hcD20LThqRzz3mPJf7Hr
fgv6Y0eSTUHbAJ0shcGSHPr5KtLNO2WCcZd3CN+2++p2JMogAPU1SIm2F6nHG8J3GNF4/ZItWbJv
zkT0QLXMkzIgveOhJOzDoKHBLdMl/NaJyUZGWrxJtewGXGqyYUO0nXNxCsMg9DpNbN2Bn20kwYsp
ljn4Ve2+wgtBKk0vZTFPvjG3j7GFPy4EnekZXXbXyn4Pam9gua1+qNRKeKGcHrM4NgFbz9f6iMGt
jZIBymfzqWX6py4zBohR25WZu8cBqzFNyC0a1G0OB320S+toG+z1rKz4mJPqObLbaJVb5T3P8cQX
tZ3uZG9sEV5WOigcrphAPHmLsQwQMlrjDKnfiqQMm83sKN20Mi18IZo6pjGLNB1i0g4QbOGrttxo
jlzuk814wO/CZmTSVmpAjksYn1J197GpbYaZWB9VC9XwmJrGcuuVmjp7Zrw8nkct9tOENTu5NA0B
qVtCi079xjR60VLly3F5mWqeMCXvRnSOAXhK2+Hwk34pU5Z7uYliI4ej0zDcKYgeZpxyxWQvukTh
5YuV2O16DKtTGKvBqq1GJuCFmtseK+wIQ9fupOyegcJjOMEYPiQqcOHylFr8yhpFyk7WvMoUZT9n
CFRRGEXreZyQEof405JAqhKZGJhgtAsY6+1Ydl8pcyocNW79VvUsmzU23H0kGnjG7Hss+21M1NfZ
hEgJILL1puw1E3eDhCHV94eqDL1MYU4q8JGwqEReEx0hN2MtDbEbdMh6WsS8NVfD1rDZaKkaCmA4
iNdCYAEZS+kHStOQUam2vVZcT6V8aUo2D/EkHinjcE6VAjb9fmGZhI5ogl2JsST7/47RXzaAnKI8
LgSDnAnBATLoL2uRtm0NEUzWdCNh93liGxzGu/K0TzpPeSueqnW657btBVfMUr2fbI39Tw+4m9/u
PD9zPxcZ+N83oeUQ59O7Ns8d5FgT7eGPTwtsNOyorH6+Gey3Kti7aue546tS/n/gzz/7PLqqoYvr
S23MdyzoTwsXt+OZFUMvvtHiI80hWKi+3HBP4MD779/PH59+v30//Dx5BmoU0bAy/uP3U5OYNXuN
rY5lXjUWASUylOLpv38O8Wev2c/fzC+fpI9UtdWJLt0Mm/YRb+962Kmfjr+Yp0857zHv0qzRkDf6
7uHs+Jl3Hk7x5rFdB+vb5CC9HSSeY+fzF/1yw3/rx//+9enLNvzXF3UBddgGnjri/798fRkNDFxK
VO0Gof0c3LJdO2lP4YHSArKl/uQdXrTtuDrXG7kzzVV+xTXtFgVyQ9zst5XjPxqJ4Gf61xrJXfdW
xG321rf/qZMs//L3SVKlKM2CqmLqPxCCv+skJJj4I1045DF/JTcwLGLvxOHB4olz42dyA6MnoSPG
z6Uzla3P33B/whH7wxtpCWpiDOJLWFqyAROrv7yRFEcx0mbMyut+ojHiBBkQlybAiERfd12e3dhx
PaAMZObZrOqbPnI+RBjJdaPn94OW4YLW8mOtNy/ZVB6ytrgwGWKH1EvPSIITsuepGumCKWyUeYMU
OtinY6TKpzkpvtwYXa8cdPofUqu8NcN5o+UC5sGceX0QEYEQPRHrLjkRPlr8j7gJjKHQ3nWFpxOu
tGwjw8HR9qptNPFBT60u3AKagRjB7R79Jq8MVhSBorJetoZqb8d2vq1t92BlzizujaBD/Q1yybHr
fo8vN0uSOVkyzf33ePPwW9SZ0LP9Pf6cfY9CY4NUfLd1mmSXFuRJ1nUTqvUaMgDmnkyO771FRktm
xZPNSbXqIrl1BrfZVrHFAVySTZE1Wr+TyY3Rl6c4UOuV3naCZEu8rmf8VJFrrMtgeNDV4FFp5n1n
K5fBzlfFIPdiKvxBQUqX5rU7WMBjK2sBKVyY1d4qpcR9ZCssPfoT4ygeeKXCfUlEpHG1y9Are0vT
10VQn4GEfdNZgeWK3GlxdwCAvwuD+ghF55zr4xnK17s6tRc3ynZ6Yj2k7uBH2CUCLby2oqH1ANLe
ZdWM6yn2s0rdSrO9NJ3jG6PcJ5Z4ym2LazPBCqc9ZAnjopMDX0vcb4VWrkUG4EL2a1k6WwEDTSvb
UxC3Ny5os4aZ3u4dv1K0dWFH57nMrykQ8lxzpnRJQEbTn2ZZngY98dj2nXktV1UiNzRrnZOgPLcG
kQvEfTbAh8RMtpgwXvGobJy4O1VG9x6WDgAJXvrQdu9FQ8NVrm0dazxqQ9t5vauee52akjo5N5Z+
W0/EY2blwYyMfQYMjGKc0sccuG81ugpwc7hB/eWKdjUU2ZOdRA+lGl26SNkElXk0hLPR+/ysJkOG
Sw4uiBjfB76IFXB5n3UaJIb54NigMKLuGNraRonHK4KtewBKgDKm5qux9cvgjpdmwncWhIN5a5vN
NrZkdEbePE3Q266bTE326OCQgmK9BNhIt9fkmWN9zfB+lBpvqZ5qiAwwLe42WflV635O4XhWx9wX
uXG04/B2rDvLHytgSFlm+0Zdv3a4TJXGsHD6BduxHqaNYgSvc5OdpDtGQPH7e3S7taEYRCJE1671
ksoOLUXxMXJhr5SoGVfVoBRrPdJOgRAX0cSISAKOSDLyiqNz3SSVsm0F3T5DUu6qKCW/1drJph61
U5f02zQgm4yohne4X/Pu4NVaYiFu397U1FusCtGSk4QDE00t4mt8LYL0aNTKVjPkOrfqc6XjYZN1
/lGJnBdjVnxdQsNOAhSquLNuzczZl9QL+EyGBvkPkiDglsmTJP2qVHV3pUcA9JK4OuYxODXm1lWu
l8+dzbJ40rmaKfl87jXjxH3g0zJq1igOrOmqML0xjkivJcPFKvTHzrUOikl2R+kzeHlFBVxDnkxX
m7xBcALkSlat3AqJSK+DHs5MVW+SfjqWtYYx3YivMf89DBa4wyga70PL5P1OT1LBMnRw0uuAoh1w
IMwmBhZCF8rzyo0j1xOmIo9zaWRXEXf4f579/yciMW/99bN/nf2PXzYkOP/z0b9MvT8e/TAalnQw
Tx8e80u84ycRiSAy4xuwBd0iQLnENH8EP9x/oR8JOHE6jSWITPzRD//IwnPSiRybpCng/aB0/Y1H
P0HS/3j0L9kPljjCYI7m4/4ySIcBCQHOvGs6Ph7lEuEayHIpyF6enbTNDd1gBL24KD+bouLEMrPa
40lkY7/Gv9EqQ3GYQ3wfVCE2XHPFE3QW229QtVcVBOTNLLBK5EuLD4JIs+pEX67rwMUBuETTEjJq
tB/B8xydCDHYfnDJsXGjLDYWR4xnk3HjMhDuGlJvXTw+BRJhdkiqu6aMyA4qsbvT1PCjIDM3GuoV
PoAzRy9RqSVWpzaJtiEIQIkAmbtMxttpCeGVpPEA+7wEnX7orKqlXam/UwcmibCmuaqXxAAwR7xb
MEJ33RL0a2hy2rjl+GWV1hco+MTHHtD7LflAdzSeC70sDlXPIEQf5ps+RLfREirky/xwi/yaBITn
GMNyFFpl+Tgilq+5djClQD4wwRyw7cV8zVY0AEIzm/mXlWnrcUEilFm1FUAS7EZepJWGO4CfDtsE
kyolOc9+EivWulfGazuShhcDXogBMAwLiQEgR4m9wSm9ooLTkABsICaxN6zule4gylMWpkMP3GFe
KA+OOj06PKCdm7GFWFd148wum+uwe4yU6ht5CJOc2ZCs26SnbGvkwSnmbNzmMb7IOk7cfVVP0a2R
6g/sdQn80Qi2050IYHRqvMyq7VW557r9fW9l4ZmNTXWY1byhCUZJd5VZrmWiXjSQQQgMDucl7Cgv
VePHhSmFRaF3PAOXtW+EFMZVVjX6ZknRnaKUN3jPA89q2T9YFC8oRG1lQky2RxTNrIPoC37EkFyD
ZHyqzPjTNvJjoACzL7S6xujT5UxH/ZvAIM+awHhR9OwVaQ0MSGhvJ1eUDGTJTlchUtn0MBDtIZVh
FAR1nc1ErGNMbKK66dEKbNoGif4zpNzhu/2mZqWzpuDN8ixzYtufUog1KMmHZinPhKSAaY2XjOf9
NCj3gMpeO67KCIQu6UHlqh6bs2oED2ORXE0y59UK9McwZ+MTNcF9MNpXPJbJsOohrQYVmlXquOdC
Fy+BLR8sVZu9LMwSkpvIabSavbfCvcgmOYdVs9ED5hfHHq6lJi7GxPeSB/Ft02p72JUrLgmHkHhx
b8mrSjHfw6l7XKTKsDBxMpnXUTzvjCb3KiyJIFmnZ7N3nG0SKrmXQo5eccwBPagBftPTNXoBTW2r
IW6emzY/GO5wSg19H6nzY19gDRqoQsIKLPdVYy79i4tJSskuOIneKfTDdpBmjTdbxL54Nq/xBjjr
oCsZMSKca3Tn7GbBcz2p8oQ+rWo1tgRQdaxSy4nLKcWImRIhKHvURx3S5KYfpttQJXqrsTJT+RFw
Jt0ak3VKevfDtNhjVrb1oFviZIg6WRk9zpdhqgDQLkdcE80AVtQ73S02mc1TXa/a3Guxrbmame1y
UFzUnoBWyzvc+Lzf+jm801TxbudsLcnFnEBeBtswVJQN2v1F48aCZSvVaMKy33Vq1tZakYFnsSq6
HChEy2NdLPvBTYq7ounm4C6p52QFYfy+iIfC61kSf1SRcraodFqDaoQBEz/JaLhu3GiXm863Gflr
3UGbw7akYiOrK0an1iS9hmaeP+X488LTrIeT11kDA7lmXplOc+8uidJmyZZShvnKPOdCeRsMwJ7z
c8Ac6tlEUq1OqVdz39yIODtHhFYNwqsjIVZtSbMaRXPIZn2dwpJY9515S3j11Lvk36wlC5sQinUI
x6qMlhjdyMuakgEV0ti9QZSW69CBUrXHZMnYpiCL+GrmZ3eJ39bTY27K20omN7wf+CEQ1M0J7M4m
fKtuMcANarEFONgjXnZ3BTFfzWoPlDNeCXV8KHQGaOLAFjGnyhUFnGR+q5fEsJ2Bgp+WFDHXRh2D
EcniQmXM5Iz1mcR2BeHjZkkh28SRw8SCprMklM0lq0xgmdRyleznJcespBSpfU82LxlnTJL6HmtT
7LtLArpcstCpSnYEFqe2ZDxYG7O//D6M/KPILOGmv57KljoIP/4K/2QqW/7h71OZ9S/V0VjTMX5h
QFkytz8EGZK6Jr4U4icmxBkmtn9PZewD+etYXXBjQ7/Duvv7VLaUXguEFdCXSxr3bzZBGH/0lPMl
8cF0wzEMRjKXwOby5z/JqDFVCngUqIbF+5tHK6x/FBiu8JSly9pN0v6qDbPN7h+zpj5CUSdw2SMq
hFERHol8229pVKwMivUQJV4TO9O0G6m16PcJ5xmbnqFwr/Oymw+h0Wfxvu4m/R6HsWLutVaFQu66
SnedB0YALc6CtYCrNtHuYtvNxBUdEFnLZBNa8tQYHN23+Be3g1VkXwEAKb8s4h7zBR2ayVZNHG3j
1k48XLp66vYCWxkzDsWu85rSm/51FgRbPbuO1Cu9d4Orpq7xPRRsxNbR6NarpgaG3atTfGV2dAsH
AcZkUraBiyhXLFebOpDzFkzKvEqLqL9hw/VGtubVTsMPBAistMLNV5VlflUdgxXhUPB8eS0+iXJh
KitWeh3yyzqr5qZLlf5VWgRTBl3F0yYx6FDaTTKo46R50hTY5S533Y8xtoZdaxQ8yZQgOioYj3ep
1tjUJffjfq6qeivMocTXMncAFumIMp2KRVJD2NIdghMvLps+Gh4JzgS+0+VXTo9HmrIZm6u8Oe9T
QSqZQHKGESLaor7l+IB1bnWTk9B0yvFqM3pUjvvliEhBWJp3mGSvjSS2tlMAnF5pF306aOAqC6qZ
InhDzIuE08gJE49lPmY32+FcOadQy1ZEdtilgm73G9M21wnxsGs1TNM7RZrGhfBz8ZWoojnkdUxR
6SDovI7rz4J58J8Sm/+7S3KM/PWptcHF+WflNYsQ+/uRBZyPuL+Dg+BXggCQIBd3CXdFS+VvmMi7
Py6SHGaOiZ2O1CeGg+93zB8XSROuOOgZG34WK36A5H/nImn/p9fORaOmAwudivPT/K4x/3RkpTnv
wLEL7DNeo0PY1UNx6qQ+WaskH6qKyta4n7eObFsKePNwfCzdBYldugU+X4LaL6PR3tE5O/lRS/5N
dv0WfL7P5hAxSSWdXWqZ5ZVu8k6NX8x4YcZrSlfIgFEHSRSjY7OrvJBIvBA8eJJ9qaW3Hc7/O0zh
O1eOAIQC/KfMH6EaK+c0KBzp1UONyV0JX6aqi26CIIqtmyib7BuzcFgPC/xoxNRhBZe+GeRqcW9R
fLwJmK7kuiX+31GJ0kbxY8/1gVLpVD6luhsRs0jLHbJPMnFxaE405B5kb17MUEw4Z4tHdc7ue4F3
uIyqD32BD1tRT7MDEPWGKClNIO/R0hTaKOJs9To84fGxj2JzZXCNVQbFV3IGl3Bh7oqq0oi4Swzr
hS3WmoieQLw6bLZTKKjmXerI64TsmT8p8Sckifu8F1+qIPnc5vxQTKe7tQ2CbnR21zvJx/f0sEpf
J4Nq01TGO3Vmq1wv5oA8c+7rTNM3ZZEWcFM71PhE30VwC4thaHx6rfZGZEAXz0l30BE7A7hJUf2S
mkJjdToYlX4boIOuZiOCSCz0XZmyGtcdYv/uNOr7iXI9Dx7Ap1q6vtO3OQ3PZgDPtt3mhfsWRuUV
y5ArlF3OHwcPuTG7d3aAldqlmHUMlE/TnTeZOu6BI57DBrc9KRK/amZrlxdLP0NQfetKdslWLFOv
V/IPGblk9Kbimbd0hx1ssHfWIljw9roVWt155LXPnZko3HaDGyqrWVCAswkj7RJUCls27gEwFhpz
RS6kXZImyOPlc5+Q+y3D7tDxCnZtvwHfHm9Hk6WEpdblei7EPh+m67E2n7S2O7tdfJ90rEhitX3M
w+gS0WDrV2q/1UJLQUjvDG+ImstkB/fY4G/nuudXRON5BFo+9NyYwKbWBDd9MO+mLFDoGFE+mlqJ
fFVU6XYyGa1nzc1WsgfhH5otnSNkEinsnQ9lZV8ndC5vSseUq6ovjBWp8I7YhjyChP4Eg3+Iewc+
RBufrKSiioREMuB4bau6lLBOWF01fgF8oSVvjVrJzeR2124jngclUlf8qg9eMuUolr3xLZ94BALD
u/Rztep6G4sncrVtj+TEC2LSXcq+Q87FThG8O4EGSMpY4q9s0mdGevvZlOadjutiP5QpPplG3yNu
GT4tVsdoIEZjQcZZqbkQG1kn13FogQZNL3k2nNlXKdhUbOBiSbqOc/dGD4t6Y2WoILKSeGmacfLq
wrqXGsUuaqN+C3TxqhrZB1CTfS0Nbidhhwqi6F+iVR5bIrCrPM8fc8oR17rb300TfILYyl/KSVyZ
SjmZZKrpDBYHW4zWrZE4lY3XVp1WU1S/GxKMgG6CYVjYXb1Znyxl7NZziiY0zO+Nob/UTKk7V8VJ
Wbn2zdwPBcNCBBu6IQZj4f/0KEj4AP/Tsv3q7qKiwydfqdluUsvJ6+004aw1XitL3HU544akRnZD
V5T0KcZKiKRWBTQo9TyAzlzjQ/ka5sn1C5P7cKIP/hCU9i5NCxeQqshQ22uMrCo6E2mXD8xA+Upr
IYmqgTTP8WjGVN7VIyYt9iaGXl9kwbVrcoCUa5QZp3Ex8jrFAK+MyY/NBNpJElWn3Jb7KQ9e84K0
bM5WYM38HXqjwbu1apIPC5ghyalkXpsFiAJhTDuraOp9WYlNSjLdj2wr2zgOchXn4bwtkvq1ccxN
0SgkFYJtidBwGynUxVMYCLSllaqH6cndjEqBiRd43S3CfLWxa21P498xYQuy6fLE2aLuAWUjebcK
WKQcor5fYvfJJqo646CzVVxRY0YPzBgWu6go5odZ5rw2clI2JsB5T0GS8EIy857ZDXs6rPELaQ6u
WZMa5cw9BO58pcRzTok3qkyQAknPlwnevnMU2zrOLfpU1IN3R7W4qfrovtCxSqWUpm3gncVeHynN
KjG6D6sGO0DM2tmODmPdpHFVgMFF6DaLbroYh2Awq35axsO2quYr3O9HKG4+Dt4beCXp2khqFSM4
ImFsN2fazT4ciPxZGzAm2i7imqWYIPBMkFnOtA6sEKPMXOOIU+Wj1qdvZarcZE18l4JsI66uWuuk
0SyvEdVXhrk4zFWx6aBY+k0s+JDkrHyZqS9VjGY09GT93R5avKYOvqybAHREelU4WO2TMQkf6yiD
vBa8WEhAVMylazvLvxFMezENBaJud66++7e6/CNglb6mVT6lCz577EsHdyJRc09XlNtZrVRfyeKT
RuMR0cP0KmuYRATPVFMZOMA07WsEv2n3wdEJpnxLBP6AJ9z161TxErN4yqfmPBY6+fMpZxqn9J4X
9FC32pWZ5Z9K5XyTI6KXhe5b1MouaJMv7Iqbti+7bWtX67biT2WpPKqJepzDq5yYedPbwNPTN7dP
3qnOXrZkKgkee0+0cHnXOOGqtZrD3Er0ppSXJ0dfTBCsx5n3cxzoiHm6+DJUSGMYN+/iJOQvc4AP
OZmZJtO4HpaoyPzabZncXpnA9vFIJQuTDi476zCblMj1VXxt1Y4XuPJJM/jgLOsp0EquUrT2rZF3
LPvB8dkBfnJA5qqdA3MvHjWDBx6XwK0ZaXRUOcaZ3ddDIyUiWgtPV8EpUMXukWYWfJ+UDPQKRnkb
/gs+xnxLPgk1TU/WliZzD00E9jnU4w2hShTreSklbBBSh5pvzSlIRzB3AhaKKagylumh2dtGdJBT
8i3SzHgTSud60pJtOW9bF9OAs21YkWvjEajFfZQNmFSFyFcoAtskGWAl2gwyxvxuOHJjyfDdseKj
0Hv2koEa8WLVb+D8yI3pkjr3Sh2aK3597sOJZQB3wUetsvEiULLVNmtnZ4Rsx0lyDl3qB45R3RZW
kwPVK1jQrmNhaspTBP0EAhFtWM0Bl6LMUevl4AwbqhSV6Xbi1SlUM1Z8EeB3C2dbQi5y00MJ0dAb
KTT2UMq2sxsiQ5bKRrETMiqpIjexKH2Rp70fDOUzWal5XTgD7aNTqNE3nzwYTXEnhTVu8J99q5Pm
ScTU6eQMXkoQdxvXdPeRLd6o07kZYxdrvU0gI4q7fMXc1a7SFAyJKQfNU5BzeZxMzIUqDzbulRav
3/LaMZv3LtkINzrWDUTqrBL+2NnnoYuv3d4+omG4XtEmb5o7+a0rjrQBMd2U1TvPFjb6WcbV3Xlo
41gcul79moOh2M6JSp3F4OzE0N9Q+EE3UEQIgauEx1wjfSsoPhuZ7wzKb1bEWOdN3VpHUWcXPR0o
Fqebw8xLuePcPbpUMduTycOOdOiuB9bA841PCJZyxVW7heGA0bSdqbescAroTLuulr6mdbwS0XVa
UecGpEOOxt5syIy6znBW6PVisYJGYiafJJG5bWs0nEyk9EP1DNhikxXDWejXFgsGZa79plHCw6CW
T6kM910Uv3R291C5JcbGWV3TSz9a9h0+zhVz73mq9de4ouenhWJj5OF+nux5n/TZK1/gQ7QIkjaz
4DrqKgrTcuVV5OXwlM/gsco6uRqjFBwOq3QKyuaTHCYaJiztuRpUnJbpLVzht7Ry4DzidMgn9yUz
S9rpo6dcsrn5R4b8LWHAJfuvL/Tb7Kso/mQxzD/6cZ/XtX85MGgWfgDxuO838x8SJNm5hX7D/7D4
62iB/77Ps01WaQP7fTP8kwTp4jHT+Vj8H57IxS72NxbDmvWrBGmCK2TDzMd0qHH/7j77WYIsptbW
x95xr/W8IZFqanNFmeKShzIUkEBrM8rb4JVNS3NLGSPpqXwJUs0kqqzEPTaFm/K4SN9T1iMTw8Kg
d+FmEgI9HBDHuGTH5n0xGvW6H9xbrqnfyLDGK/JLPA71rULANGxj7ir1ViV46hBAhcqyU+Ls3WxI
PNtJeQwTeZsumVWrayCcWTtbhdDOdRf7g1yRe1ZQ8actKYqzzgQU6yRh5ZKJRU/cTUtKtlC094TY
LL4W8CyO/Uzsdz838oPz8ESaLTOX6Lb14oK17ZYcLqvKL4iFfrokdJMlq0uGp74GtrLBxIyaOGi7
mmDvsCR85ZL1TQ2lIf5H/lc1HL5bCi/9tpyfUAxOzpIYlkt2uFlSxDqSQCTI6Bt9uGmWpLHWhPY6
IXzsEEJmsz749ZJLptnsJSeoTHclU395PS4JZiUPzE2+pJqhOOzlknP+bq7T8IP7qhQDKWTy0NWS
jObumwOMcjF8T7e5me5b2oc8MkefUz44nrokrJsyYCWMh9oIpzfykBBqNe1bpysHjXi27KZjsuS1
gyW5PXzPcC9p7nLJdU9Lwnsk6j0T+c6VQj7zel515uucWydBBwPuIqLCyQHu7J1csuMNscrWxzZd
o6fqUOnWRbxwf6osKyO6TrrUpUMlNO191jqCE3+ItrHjYKInaumeUK6jg52WwxYccLnn51Kpa6FC
D6aQwL0LSE27q2zSRha3JXLAYE5ii3ItMj/rx3CrTWWE24Dq5KMN9fHJKS1nB8lZff7nOPx+HGp4
p//6OCReCl3hs/vPE3H5d7+fiMa/FgVzyf9aUP5/XsrogswwaxW0PYpw4a38fiJC818Q6MSJDdzm
bHLY8vzIW8FOVzVdEF76oYv+jRPxV6OMAMXq0EOg0ekIiv1XA3/Xk5C3S1Pe9OohpNN2upTt9qcf
yp+Y9H8Lbf3R0a2CYRUuEHKwr3y/f9z7aGxDkyRtqxtDEm1qMW61hBkiQy/AbqlNze9/aY3p7VzG
lnOOosh+5oTQ01tHNadVpOajTuFpBUmv3NfReIyDbI1tbD3HOMz62VhNU3YT4FzNSmU/tS7R//Ku
U9kLTZG2nmv7MsbtjlJCymDzcVPEneaboj4oFU0eTvqeTembApyjr6o9kIJnNgCM83F0HWL8c/Rs
b0dt7Wlj8427zbbKYgmhVNjbuBY9Hjkt8zpT7uqBGROY3wOA69poV3x7z6Gl7lUwaB7GxQO9KV90
GUBmHTHETvlXUAF3d/IKYLs6ghRpmw3ZVgB+tvSdYlkhS9Yjla2+j21xMISSI24VmJPDQ6DrD83I
b7ced09pPrWYBOVHa4nDJJpiUyfVqYhG6bu1bVDfG5iroGzumhhMhy1AmgM9PeUh5qauNW4zSb4X
0uizkhjU0Nrjmuc3KA+9+5bYNM5Qwl2yzCoJ5YkrWzaCvXkde1laJztLhdqCdhCuxqQv1nGl40PA
tYeGOz9peYl6inBa9srFlAqmDD27l7lL7ZSTvig1qxxdVnuXruRz1klsfkp6aFlJeapWC09zwmPY
fRhJuXFxB7Ij1FdirLmh4UAOZsA3Qe0gOIXaoXH6xu8Gezvb5kcVY5eQU3PV2+LDafPIp2X9m5Mz
PofCmf26c+9xRX0TsVypdfwV14iEWpvsIh2qqDY6qzLMb7Bvv2tJAu5WIAuTwttncYoiOHSb2Fks
VQbhGtF2ci0U1V2ZRX+DFeABbCyUkKwjMhs1i3Z9F45d7Zd22K+KAMOHAOYw8AScl9PZdZI7nTAv
JgquRO7wlKpM7PFkfUsS99XUwEhGkjiQMab0X2EdPxV51qxCXJsrzpWHcKrvCmFWoN2N6zCz4beW
keTNOr4OSca7R9b0n0l+HrY9v6RWQDSM5/eASV3AJ9oMjfqQhhn3FJq5RmUpDA079CvlW6c4L0Bm
cAGk0co2NLYSY4A9BcCKVWKhN6Z0X+lLqEiKpg52FT8Nl3RifW+GcvaYK3iXu1n6kKqGuzfnMbmx
DHlf1zrPoOqLXo59nFaAjsvqU+tqZGlEKkwVqGmphBfQxODyROdnVpChGDwW7nrcTtGUHHNaA2JF
uTR94i6TRsZ6NsgJ3w+06in2WPqNW5WrNjNND0lnFRoVgS3jJGAdMIvR0gPHpeJ3c+lwO7el/Rw5
5lesjrXHsVajimubHMvqEEHyc8TbghZmsUpBXv8S9tj4OXMuTaGtKW64lJqxlyBO4a34lhI+4tV/
aR2TzY565Up6TWznZqJsZ267zYzADb/8k8taxp008dO2S9dgRFZpDWmlbTAPo/I11XC2CW83dZqx
Dph9tiSSLRHX9MRR0GqV66lrHvPYTdeB/r/snUtT3Ni6pv9KR89VoaW7Ivr0IO+ZkCQYsMETBWBY
ut+lJenX9yO8qTKUy3Uq4gx6ULsm2+VKBGRq6bu87/M2zw1UeqMavmjNs93xSewdd2Na8IuWAW5x
FGqBoohFcatpa70f3c8upN5tVdXGMpak+7HHbUt2puZdVlgkx02g3ftcEnsdz4LrpLDKcZEBsNq2
Y1EvvZS6zDOzz0nVbOpW3SmVfm4q7R7pm3mld/Z0yQOv2tRp9VAZYh/W5rch8E7VBJs+9eVMsEE4
ycxvhQPDQ46cRptsylCsZ954lFl4HUn5yLZBm7fV6VlNo0ixCVY1yJkzW214nxu8iyq8iaIiXvmm
duj65q4TxcSY0cw2wewPLPn+IOPw7Fn6CWcA4VfOqiGt5qS1nnbjxIxsx9FXa1mDxOcub74EftOt
rNbNdtzN3qpK25Xl9P2uF63aMpkqwGsU41bleki1B9BCtkzsGcHZO0Vi+o5a9tJO2k+NFc7N6Zat
MgWqFpDHwA5pcsQNpfZdLYZradfOHu/uXeEroqbkFFz8+rFL8fDBRqVjmUQL4tDruKSlvn/oOmlX
AjOvusvCI+JOnGLvxuG7tukW4r/zlL2vIihT5k4PiJ+Y/TssX+eu64ctadMUpFEhPb/0gnWQfK7G
Taj9jS3s7y4x//0Pl4BXkqaqS9VlyY1JMMgi7L9a5fWvf2c/vYhPo+lSW5F89OEiTUjifJwrdWnW
N1VxPmjEFex/fYk/vy38qn64xGw1/OHnaJngSmEN6tLyrrNqM2VQVNQpdx/i8W+uxFb9wwfg/ZXm
7+SHK6Vhb2cO+ZWX1TgtRM6qyjh0GYOTdZ8dpuw/SV9/aan/s0dSAPQnMdbUUQyx0X9/uVbGw1S3
QtEB3YkWMZ1zI8OzMfu31/iupRDcNH/da5xFufyJHW9+0VujgSafpsAm4RBG6SuC8Xf1F1IK4gkY
e+CuY+bBx/pNSeHg0+N/UDiRwX6PGvtDSQGyGN6DwbjGRcr/jyYv7nzc/NEDoDDzkX0h80BKBicC
Xf77j4cIzBZjuGtfkGdq1rcICqDvLPMxEyuiAjuU9wwMIiBjiXlX0g0wIFHpla6ZIAjNNGPLMiBt
al09YIDqOU21z4p6Wo1uj6q5sxuUtA2JYgD+GNUXaTElVwWSiRLpBArYr4MyyDs0zYvRyauVNess
Jndg512Fj4VLL27Magz6o5CIXG05INSgbE/wwyTjSiHiCEVwV77KOogfYmOVvso9EoJGl9msAent
mg0waa3u4CyLbmzzo6WNEMjQWUdWFCBQThUxt1AfgrwvHw0CXSVwvGXrZMFSlPmmGahGiyzeQb/f
oURqkVbljzqel22KonjFfuE2ktqTcSzz8VhYqLSR1FAKTxQVaXAjKu8qK/S1P/bbeLoSrXOr+uaL
45Hhym7RP75+/v6VYgrMLH99I4KKf66jh/QnTT+v+/1epLPnPgMv8n3UyW36NgYVzm8C+IrLU9lE
qGTxqrebkUkBNwkSTgCrjAMc7qG3m9H4zcEc4yHro11n6fmPZE0/QeebDEINEtYoD+b+/8MDG0x9
nQ9aNR4HE6nNRiQgz46lC6rkRZ9gidPzkEVFmW0ii5h2hZMkKqdvjSklHCv5FBgsKzwU2Lta9O64
MB3jSepsVgo/eICLco3XLLscE9gY1eQYG0zCksZTb46F47yEpUfpmxmwp3PQnOygwUE1ZE23jnLR
MQr7fGJhsNfytKXvZlkPtN5BuhTHsr4ogaxR1vnnCEiSM1TN+aop1biBxFIu2irB4QFzZAniBEkM
8q0Lqx8PiR2de0UbnOF0SzaJ5rPaYMqLzdFwgIsS97YZfJcVf0s9XNFsLUXizlGnlKaVR5aDbmn3
KWVU6Qz5wQ27G+GEOl0HiyoWYuVS+qN2UcfOE/GGeEcKV2wLO36Z4vgrWy8U9VYvsr0K4HOVVjze
suwNUGeERwmOa9+F8XMrJ+Oe/hMhDNKsTe+k1cptUqwAjPEAXvm5f4a1QKwdpWsHqxz0czvK222E
OHQh6845r133yiP1+pqmbK/C8UYriXoqrNza6l5x5Tps7UG2ANjikKZPZJwyJSwgLV0xLB4T7VyE
Hc6RsQ7t+76UKI50Mzlrg1G0W8CfI/3qVNdOfQp573rUs9FxFDTPC02KAMVMzFfyl96ssi09v0J2
9Sq+LWcdrmbMklzQsdOhnnW60atkt5g8NoPEWpnByWdJyJIu8V964SfnBnopIbPp2uopmFf/nl6v
I8s5g+mvT6/rIi+yhz+fXfOr3s4u9jTUCfOeBI0l6kpOobezy0ArbhIz4Bg8wfEn/FBIeOx98Nr7
lissk3xmvuDb2eUBlAbPgejbIQBB/2crHGAY7yoJmg0miWyXDCSjnok+9EMlgQUXuh56g5NhsupE
lYJD1iQX4KnGhtBboJH0LEh2WgD/OBb+56AFNxbUYbWiznnE+H/tZsrngW+ssFGTUlFGj52m75u+
Ok+0eAbt1VBbmUoCXWo3iSm+MhKT24YO5yyrqj0KGljD0Qmx4D4L/WNDdpKoG5/k87ha9uPEsKwh
5A5a4KS0lWu2q1Y5oKa16TIhmWjJAPGTYbb3fuQy80/yK249sSjA82shJuKgh+NSRaz/A6CL8V0a
jV8VeYasq+JPTc2KpmYEJjIyKXVUiPFEKAF7/aNeWrORyWJ2hpzdLi/6vDvzmuBb6ZNtYThf0a0m
V8zPmILlwVHRR6Pk0e5Vba8BjoqHekRgpQALTU39mb3SN4npe6FKs0KGmt6SD/UN4Ao/SEpMQuId
x1TCEOJnCPTkCKrmoYmLZtMHSbRWI7v20KjsbW4H+wDO0KL2stuxDE5Np77SmOCAcY3zwau2rcWQ
y8/IzoZ4QOSf3FaBfUqMknBpApY6JfTlOPmfY8ffdMqmgwm3euv1y8aLr3J0OPjTkUQ007lqPAJm
g/IuCm30IgaO5cqnH21GXNxJe2dP6kw5FXDsJnspvPoIC02eh4m88NEmrvIWLnADLVK0xq4JcJk1
lbwx0npPUBe6erf1D8rpCNlxwm+5dK9lMG7JdxrWWZEdxsIQi87UngerPJscvJ5x+4V/t8sLrJJW
T7hdQVL3IozbS3QD6TnpRjfOOZJepoButnK4n1ahGYQQApqXTIA/dOut01chmsJabvgP8eJV67Lg
jNaTvsdo1lyz79vGdnJvjWKLjoJZrGefvar42qKwVnmeXXVxCJmxSTZWO6VLdAjrMUTEBYXDWyZT
fWRIRw5TBs/TGM2tIYuzxLbI4phFjX59ZSXqEIfYhsJ6vEAkvNWt4KydUJYyLXTHJ4he9RdUeuYq
lH7mASnM3U9GyWoDQx465Cu99KtPzSixUwhsQa2p8wCm5O6M4CWRw3Ngg08Li5QNX+Ue3Hz4jD7o
sU26alEWPLakv9XC5EqU6d4j4WpJWbUqBxeVmNuTW6ODDrPbC0HIFz9cua5cd44AjndFO1jrMLBw
zqXutIyBhi0JvFi1xUC45/gwOAYP+OGrB71S98db3mjSjmJWCJF2nlfhFsf+Pp+hmJjZZJyufC3Y
kUtDblWOls9Db2NNCIDbL6KqUciOcmWwXugJz6FuiiEPVAnaT3K9BnerfAdoR8Yb8rmloh+HbtN5
Ck1Tt480gGLgNlYjSVlh5N9lbEsWTR2e9yWwt6mK0PVlDnmOCUjpSr8wW/+pUTzUIXaNAzKsxEKM
VI5Hq4v3CvMKY3a9JktE8d7O2s5u1zX1U1f3p3jwVk1s3eiRZC441uwyXeLO7XxtJdyFOt5W8AT+
XBFe213wXDkNn84+27e+xNnh9jscpMNSq6C0m0im9Kk/C4nxiSN7Rkb0y9Dqjookd4SITPvhF1vS
u0/NDiseCVrzAhYiu+92l7hNvuhGuQ+sYcNI2l0TIsT5N+QaBrTikwmcdhlN9cnSWePIeJdyAJZR
fxE4E7OZYlEZ7Sy8PrA+WjgV2p0BHc40GRvHqeE2iH1BLiY7aWLvJ2UiCWrP9BywJ6ZqhNnaoir1
xzRgSd0a3Vcz8pARAz7dC1dezkzUUsorMXnnxEyDqJu0COu2YrMLzatQCGxKGa8RrvnEhtn0iuFw
aabaJknHSyK/X0xj2uQZyXROuybJVtvQzxEGRV00tuVl63q3Q9RBarOBqAyZzWQ7NtK7xAzGlSz7
l7jpzsJB/5x2OSyt4jz0AcszEEdgbKyMqH6x5bjuOlFekMXFsme6JbgX0FqffOYEXjfovGstwCit
+/fQWL8MFeSNLARy2xFQiypt2YrwzMCLHQ72SSp5ZrXAHwJr3AeVH0MnDKrR2jlNk3zuU00lK6Hl
ADymVi29wVunOpWcTXIf7fW0GorwGz5K2Ew9ON+mFg/+NJ1ETQQP5YLEIwp8vcYLGJjVi9v2ydJv
k2MbUXl245BTiEZfiti4LDLjEynggIALazGEzRPo4xV5AgdXG0+NgwfJ4PyqXRjxuZ3fDqP2GVEf
cG2WZCo3VyzmENON6tQn+KasybuecnCCKQDgq7rFHGCnbryzch3xZ9DDWcyE2Yd/k81ivJ+DMehg
VsK2E9sIeezY6j7OECt2rSPMyZO4zhZ39qa/xE+6yJb+w80n2p9DtC6W7S46t7dqFe6I8zpAzoiP
4fbfAve1wDX5hf+iwMUpuakf8qeoefqZW5IX/1DnsvAmfub1LSPT512dywzYowWfAVevKqa3Ht2F
5f0KDv3jVW91LmGovjlTp2CKkmEq/hnD4l2VO3+MaPbRAPAPX3QGYryb3trEP3lxUE+nqf1SeQEr
p/a7iO2/P7DlqwLIch0L6CuX+DADmMrAKYfSFGSskCSub+w0WjT2N7YdP7wBP9v/v/tJXuv1d9f5
cEMUmiirGjzkyS57pD/nyv326wu8juX/mC3++Qr0Hj9OuqWoEPJAPgagyfjAunX9l0Ibl76GULNf
g9ZfNv19yUMwumyLYCGi5zjcSHlpFFdtfi3VPDY4c6BPkC6xkBYF0zWn5Wrws7/5Vcxijx+moH/+
Tj8MyU0e9S3lNr8Lcx0g7q/KLx0ogUJYJxUwGYTQE40vLp6Piv+LfHf561/VK0Hw468KPb6NdERH
omt8ICaS5CVaHrbjCY1DJJYCMdh5YtGMLEd2+lB6kHt1+xhcQg3n0O7UJ5Eqh+OV1rzXtYnmCGuL
UXZ6j+dBPyif2nSbZndGZh7wuiMkBWEmbgcCyrdm4scosL0WUlC8Zm6wL7txYfTVRrQjRE5SG6ZT
70TrTFpIPDXwDNO2HvzLzLgkgmUTdGRSE+Xe3DTSOwJQRVCGPJfAGANBOl3o0oWnNiIaTuyboqyq
lUPNOVHfRyiBO9Gdu3q2Bus+VndNnC1GjWALlZ+J1rqK42M8ZNseysltZqeL0oS9Wfg3LZMRK7Zx
FKNrsCNprayo8la6RxhMkaT3rUZ1lU2ky9oBsHtpnf/6HTLf4xn/dONbH24XFfkox4ZmOulbcxfs
p/P2i7n19vWpWYjzdod3eO2t/OW4MZeH+gAwYjXca/tk0271rQOpMf4+5/3LY2K+eT5+Yn48Jj60
2xbCMTebP7JFsicVKMdmQ3e6qfS/OY7mj/6vrvPhwMMvCHg15DqoRNKb4Vsll1G3hNnuBH9zE8xq
rD9d6sebYJ4w/LAZQxuQ1qYfGafQXMaXCZzgYVnLhWpAuC3lCS/Nr9/T+ST9+KORcMZibJZaYbp7
f73MyQbXJYnwhCgSF8Bjr13++gLzF/jVBT787pDku3kvDeNExdvZVEMaWqnkb36Kv7vIh1PWH3xn
Gj0u4vdnUwVj6IaRwq9/jvn7/NXP8eF4HHlW13VmGydixkhiUQvd+UR+N9X195/lf3p5cYye6qIp
Xtr/M3/lpwLJeyTD9v++/2Pz/c8kda4e2od3f0CSH7XjVYd69tNzg6X2Tao3/5f/3b/8X8+vX+Vm
LJ//638/fMsYaEdNW0dPrfHnSd78yPnr8mifjz+piubXvFVFwibSHaUixYfnUhXwLr9N/4h0hxsP
uYtYNvf7gvGPqshy0Hu7Dis0xgZzLfFWFdkkpiD88yzkhTNC4h+tESmj3n1E2GECqaCsngXc7JkJ
m3t/L5lhWgrZu+1FljgkYBdpRP+RIeq6Go1+wgMT+WEwOQS99noIkaRP1NpmniMglBhjrpbWGEGM
g91QjSfIUJABFh5TpRo20uBUhArZaWhuwbNj/V5YVhqReaAFMXG/WuAXOYxAp7Mu3a7z63zlEqVk
nQ22rZphKbQqbh4IZa6niXY3cBu8MUPd+5zc+Fy3cVP6x7DSw70kf44nkbJuq4KoEQ+8S9WRKb6w
khiNX6X6s4hZ3AYXdX7hpkn3iZgJ9ajntl3u+ziUj9AKhk3a6Nl55CQFmrIiuIg1xjbAmELcvgJS
gqfM8Yq9brDHr6WOTBjUhYA9s6pxDBcKLzhOIKN+IOmoWaYtRiHSqW3wD3bc3hBEirEozO0nb0r9
bR+mCikecHu4OewjLfOTN+npepgt1WmnDxbLU5inNn0kNC6dSRGcsk0Czn9jlQJ/S9MA6EIHSVTN
1PMcY3QQL8Q84PD90PhqTuV0GU7AUxeJ0RmPCWKts65q5H5EQ31n2o25QrGB7a9EQTQBaDx1XfLE
rzTfV74jrkUT6YSpUooeLR6iC9stwouRRJWVHO3owo6aZusTLca81PcuGKrYu6wioNYfiaEJUYM/
4SdKzwH2NJ+7rOg2DY0wKLjIOJIKmuJxDhmhjX6AvpEk+SuUebT1ld1cmhEBrFh8ijNcgv0ZTfMB
s90E3VzzNpU9Di/KgjTqlZk8DEVk8b3FrgYc1dHhnjRQ+4sRy3HbssKpRi/flhIbsgUJbTHYpLEu
JsMPDmmtOZ/RF36BBGecG5pXnvj2g42WwKRvCgM3Yl3rp3EKIbQTX7KXEQazAr4Yurdy/BTWnlr1
jarWY9QNa9lPwaYBVydXrwfK//TRun0uLh6y5+b9Ufr/9clK5fPXJ+vZc/0Ta4zgNb+frPSHwoFo
7dDa/UmfQeYF8VEsHWaUMufx28nK8fmqzgbrM6sx5i717WS1OFkhZOguERUk3mOoeXu6XH5/qPJg
+usyb67j/nj2Unf6CMUItmXhCeecCcb7g9UVpdRFOLUXLtlziwS6GePb0EhXbmX5W7f3HppAqk01
5xkSEBVb2iFrvA5rtRsZ8X1kYME+hUHRVXu8EOQIx12s9HWp2Z17WaJ5VZe5Ki9KM4lu8EwCrArN
yQWZNTUsLcP4q5naHOI5mTulHnBeS4RxhObk8xFvWBPpgK+f1sqGOLO3Ai1D8iFaN23uM+KN0UYO
kLmwX5qd00TNxsiHSByyTE3FtZzYsCDXDmb0M2kHW5+g9BVFk8R7Bxq2LlS81ZKxWqsqEFvmR2Kt
hmra6olTf576sBO7xB+daW02HWPe0fCnYZ12GEDZmgcavg6r1PCrl5Nz7MYmBKNrFM51xCwS7J9b
YgjFekS4eZi014mZgggkjys9DWwSjG3l8udRNsXdpCyfqRr4tLhmBFa4e+AUpr7+9xZ9nQ0Jata/
vkXPH5LnnxRMvObtFn1dfTK4sYhX4w4waQzeih9Wn6Cx0EKRFzMTSvmrt1vUh0ZDJ+0y6yPh7VVe
9XaLer851D7cT65A9DQzbD7ckr+6RVm0frxHZ/kWQipGTPTv/sd8AAQLfBiqnOVYn8ozTWZVcD0M
SV7tHCNKtsqawb0uXMMKATLQuHRv1Sjb7U6zd0mAGD8D63tUSkf+EKeevhlINl1YLhRgE3O1Z+NU
UHFULxKZHzQ/to/uRIbGkOobJ4P0iNp140/es80uBTMuJJsgIGp96YTyLCfMKSbUSXtNd5pznloC
n4ye5Kd0zoBq5jQohZk5JR5qQpGtDPmpmnOj9DlBiljQfpkTKtVO4sJv/GfANsTEeaep8vYIXK9h
o2w1Qqm0OZ0qD4qziriqes6tIobtLiVP1iPQKjPsWxmRcEUrFlJOkXoliL/iwbw3vZIY9+AeBsPD
PC3Ch1sFQI/JzoJ2A5mKOC2q235Z1/igXaK2qjlzK6kNPGrpRYXvGKO3PFbEc4G0PrXgMFt+0YAX
iuVUKLUYg/KQzdleMMh2cNhWOspLf07/8qcctinGZZeB28p0x8NEVJhXh1cEwxMP1Mb7bk4Tq+Zc
MX9EwTYnjZVz5lhM+BjF2H3CwUjJAVDLrKeNHAm8lWX41MzZZWMp7FUuxi3o2EM655tlBJ3lc+KZ
mrPPorr+XAahtTbrl25OR3MSctJQbKCCsZ0Vj6sXbc5SwyR0quZ0tWnOWesJXPPm5DXNT3fgXq9S
2ez8fuazsQSOW9LabJkni2FOcBtzYN9EurkUaut4TnlDjH1vEfsGIOjroE9XFZrrvhb3qoQZURMU
R+QRfBaVgGFs4ovMHXfJnCpXW3O+HEFzw5w4pwmbLUUpNzFhdCNsrwVNwcYlpm7kaVYAFpjhn5HT
PPaoU88pxRGpZLP7rcWJlK7U7Inj5weWM85GucCOMM31uD9dMDgu2Byy1HmnDBd/AdjtlARCfuMT
Rr1FFJBzQW+28YkqHxdBQgghYKdwN/b6aeJmuIJc5m4TzYPcSL26QGV4MM3YZOnlL8yK10xRqZ1i
Kc2FO+jF2uTTtmCEZhKvLEbMfGY07DFb2Au7KqKD5w1Q33pbrWE8tLiXwODofb9RgCA8XZ5QHqAV
N8TR7Cpoab5/hZ9Vrpo0vqgctnCG+EJHM17XQkvuc9KyF0YF1dFEPiOCulx7LR/I2jET7PSSSSmw
2YEVCVU5EgmPje02M4gedHNSe4Tq+ovMsojUKaAma+MxMQCe+NhEOnRLiy7FP8E++7HuZiJ5aSx6
s97nTmeyTvQOmmfaByFTb1WUMZl0+Jm+GpQSCyBUat3Jnq3jrHHMQxcUBjnUG61MoSi1k/5UCeMu
zrJgQxKBWqtaedt8IpgoSVJAbxnSgYY4bx7TVbEQxvz+Bk62mFhLV6ynU6UuonlfrYjzillgh4qf
WtfsjWC1LVhxR/Ouu3jderP+nhva5RCyETe9jneIHRP4ig30rnGTsT4P7Yh0hpmLA0vozJt37IpM
gIilOwSFbccSfpq38WkKQDYkByhnUd/MG/uxg3IIfWQblOXOYakv5+2+zcODAICUG5bNv3H0kAFk
r3qAsL/MZ4VAYYEmzWbVgIQ3TDf2BdXqRiEr6ALveZh1BimCg3ZWHkgxbBnxX/9bIXyvEBg5/apC
aJrnn5XxvOqtRkBmPWMyHeZ5BrfarHP/vUYQv5nzv35bHP1RxuPnpKSYSXc6jk/8TpQPbzWC/5vL
EoavSKGAGBs05z+oERiofKwRbEaNFoFEBvsdOJsfZmh95w8aAmp1GpEtu+uwD2IMSy7LcTlGIfSM
WbyRSHM9xj37YgKfsW7TfUTtvpwinfQRZ0rOG3wx0zoejHaCyV3mBVTp3HTspwGJJgrLkvBMAjBr
jjiGGbvBEdJ/8fVMtNdj02BkZL0LnjEYp8knQqNQDkl42lwpV440JuDjiQL7MrH5wCrQyUGsM0PW
0xp9Gc71mTdCS52IbacnkJjrXlr2bSqQjWzgC+/pNjhwcsdqd6XWj7vBHLv4RZnesJExg4m1lDHO
iplsugthGR20wEsfI0zvK59QMm0xlmO/1lLGMASw8nwOUarqGeEr6Ljtx95mNjJNGYYnfdRCDmdp
be0xfHGURkxf7r1Q6ViLNpOQOEv+jrAtrOo9qxAy2dRZKMHZePOhKqPMWKBiJVuj1lBzu27CKd0m
kOWQQrJ208ivmMWxJLbrO6+2qEMCSBbCmycOUyEPZa2ll9YIOjNFmLH1yvw5cSd7a6amXGN7t7ZN
0UZrnRQXyjYX0J7dpZeJjgmRPHjkzL2xQLWm1p4Gh1x65nMIf2OHXJ2PxZxGz/IFXmAhSXh3tMeS
VIqdM6UduyECTMK6fnFVEMAPoURyMwq/laohK6et4W6LImsOUPjjlaGF8ZHvOVtIknsPieqZ3scA
mAitYxSjxivfD1h5+0W2bmbsOkxDGE215S1UhyIpn2q+Tc+8S3MEM7KK5aKuLcR5CmxWQYDaoi0B
wHTYqLYgE6srfI9oVqVqr9yIimQaRYVnd8STyCwk3Uy6P6ybvoC0Zg3lehBuB4kHPHMw5MlOoPSZ
k4z/s9/7d/YxJ6v99bF58xw+/ExVOr/q7dgEDGIyAratP1bqvx+btFacf1jaiWuCC8Lw+D+tlaX/
xkyEwQfn4nf3/LtjkyG1SxtkuDNY+B8dm7Z4v+Zi/IEthTOTa/mGR9PG2f3jTghCuamnfBunnrOg
WcWmeSttaF15jrcwlUwarGmmalEGwokYFAx19CrOWvT+oSV2eFkyJeTwGW+4z6ptF4O3zwWD3cLJ
1nFXPkljEGIxtR2huo6DIXplat3nhoSfT2MWq61TO8F5aI3OPh5wklaGuSzdvj6iuu0WtjTCzeCK
xzZoXvSg49hT+UVN2HS0dApoZ9HQfaK+vXKxlFxVkIuXMlGUtWkOWgna8iL1sX7LDon86ONbZCe1
9oZkE8tO24kY6k48n4NeF30TOYQUQDvso1sSXnYOc5+FLCfShc0EoVqQi1NgxMVi6PI5cdgn6F4w
Ky+5/BSl+aImvpyr0EZOlFaLGkAIFk11TN3gFBfhAeDYrq3JAGpz46FNTXbvkqlq0fZkCQTxp8KG
0ORAG9F05GIOSLooq8btNGfC1B3rT2I9CRVygrXuabfl1Fz7dU2+ju7tbehvQDfI3nT8L2blPhV1
cVEx7YLyER7Yi1/abXAj+7nPVfWqR2tel9Ze7/yj3ahmBcaZDNAcb3+ZFnexSg9OHt0PcdssR197
GaSH7bv1N1Haf7Vz/7nM3WqPxTtaxnnr8UDi18KZSilJgOR5FGFnwIQafTXy4tIb48+JzsNTZcjX
0twe1hocZgq9fFpMDU6dvrn3nGFZWAbgQhl16N6ikLjr6nNh+uSN6ASkDp5Dwa8PNwVvfZoa4Pmj
HpR1PpE7Diy2wOHeXZYNJgTdVWzdp+6JiJO7Pky+Yfi3NoEpvpVBAvFvCNtDTqZGQK2+kcR9bZzB
DJYTQ3cubww8e2HSkn6SsVAXFcQwy9xrne9vpZeRI+AV3AiF9zLGrMyT5tEssV7hNXbXIm6SFWO4
F5WXWG71Edu1hyejzJN0E00us/SAnqL2/SU65xRjSQFLpyCJIBDV0gQRjnu/39Ik+Cviqk9mH+wM
O79EHXhyEm+vIcfrjD3Uz0Adfb5mY7XXZaXA5YK5TTLni+uTUJJD6FEmTEZiMraJILAUr3+Tt3du
incDzyo407j0140Le7XwW3/RxvmmSMqjYXTbRstuG9ntk0qet0g3d8JoSGhC4Jf2O6uDteoq5hr1
MJyy1KD71dP7sGHT4JTw9HTl7uPKPTf87CJqS1YmZgtYDWhVkSQ82p0WDFAocD9LEYF2ic6NLjoX
WXmfsl5gd9OA3RPBLcOZL13dwCtKLASpeCKGWIB9DC1yy3NIPaGkpNA6DBoEhi3Y0aLOHLNPygm+
TAHfX1V2DW2oydHD6xDhDoxx0hWZqPtgqp+r3LTW6OqYPfhghiS40hCZOKh0tJt9+wrevWoVugoz
6sY10nRrlfS000mlv8AgOrOi6DwKYTwMKfi3FHednkX3k2PeBGxBljW4zWXVphp9tfgEof5e8Nxd
SDO/MjSoBGgsXxy/25JDNoNKMRAbTX9Vh902yI2bPmyOeq/hHSq9Q4SGfxG42VVKJC1ZLdohVOlt
ZLe4c9rh4Iwkk8i5UhgMyLX4hZdOrhJ2YwABJh0Hfq6AKwZoFLU6fcFxfVOVNOajmBnkUQgjIIy/
1SWCyELkSGHVtLLIMFxSZupnSmrTrvVAas4VyVQxqiYQeK31LQs8X14P8Eg6Q9uxHzrz/azfWGV9
gPBCUIIIGchV2bg1EY8vU6ewN0E23mVorpDQPFQY/7aDEZIip3rIyNmtYffnhLfzUiNaW721qWO5
7gvvLCrrXdwE7W7iQ0R/SxCgbenb0RVPkyiPtuTMHgjYc+JwXYn6GdHjsR2qh2mQazfi7mxGJBWm
uGe8tAoSKB0DIWdBou/cltNUthur50NA98/JXcJjoH3Hn5ASh+zelF10nCz7OWk5KCPTKdZ96u64
uYcFjOejMBUj68YnpWMitsZSqFdRisBaYmymqLd6sua50a5qm2bZcadiq4/ygWdnzbQj7AimH4s1
O1/n5LE4g9FgG9u6qe+iRFzjxk/nhKNb4bb3cRIGxJYw5GtaPhqpW9IwDIQyGd6jGXjDtvZrBN7F
Yx0zIMi94lsToBPyY3h4OUuHizwBfxiU1SXPPGwQ/J2acd0+6uSWaZpJ1ODaz7pvICwAkbjVNzPM
4U37zTLQAiTdwO5FiR7bkmNIgBLpgRA+rEUAym6+y6pl4OFzdXXuspKoby0qNkUndyPSKXxujyYY
DyQa+fVYTPCetPgrVrMnW6HMDbNsiwhsSx3BexD018Im26Tq0cVPGljNNuRRnFvJMqU0WkZiGpeO
JpqTP1m0d9lLoicFYYTqNECQZkoiz3UzQnvali+exggSa809uE6x1qqMZiB3SFQAklFK7U6vuuCq
9vIjp3njB0cLl0UI5lFbpkRj7vVXVlXxHVxVR7okdAGPzLTWX+lW/44fvo8f6Mb/uo4+Pnx7rh9+
sqLgVW91NOMH3TCwb8KEIvl4bv9/r6P133B1ottAaMQm3OGv3lYU7m/Ee/jU0ewOsGH/OH5wfiM/
meUiLzBRLP+zFYXlMMh4v0akVne5NTF8QVGgkn5fR2u6GBujJUgz8LONO1Nl2wYTYgpoFgHflxLw
bDm0/moCRevOTNo8k8e06HY6sFprptYq32Yfr/CSuunZgKF0MfkxNKOeMQXQ23ym37YzB9cDiEty
GLC2yPfXVlQ+ia6EaOd1F22HXFH09w5YXQFe1zbAuSHt+er46UojX/VzbXT6LgfKKzMVLN2AAHe+
7WLTge4tZoavFMY9IHRi4We+L5xRGl/NsTakAbyQ4v3MuhKyJouF/8femSy3rWRb9Fde1BwV6JvB
mxDsSYlUb2mCkGQbfd8l8PVvpW5jWeWyw298Z1XhK0EggcyT5+y99sqliPBzUMFlGl3BTX6eQQgr
Eg/oSapwacX0UAANW5I43EP2BItDzFvrlC8uWOIIPHGO8AXaE7fImpmu2ko7K8CMkyy8KIEbJ5Jy
nDRk2LexfraS5KwWhlhQOnX+KOnIGZbhjW1WeILa8RVML4IOrY8XaeRyFo4s/OpqcjuAXMarDiVX
xVfbGplzhMV00wJoznPtqi3GZp1kQM8VIM4RMOeoE4eqhHfujBHYLoDPoVYlHPFpluIrLxdlb4Ft
jVsUiZE635EQgEOltHowPk7CfAKmNPPmZE3G0WfOTtM+HCLKsEKlhpU0amN0lRWb8NGWoGqT7XXq
g+BqkhTrCErTegpVyNZZDmlF0q4Lyb0ubWVTSopP7KxLwNgTY9dNGxqyLRXla5ogcFgBaQO+YxYN
5hq2dsBWW4MucuBuZ2H+2nkRoG/J5EbLkq8yyekWALszwN122FQXcVqBdQ1BxCDCWScxnG+8Lqs4
0LrVIBngOjDwNMAy7DDjWiaSFO728A1USQ9vdEqfsJ/x3KgG5ODeW/SSNp7AhsUmCIE8TmCRo6e7
YAriLV1hf2kqsqoaT7ssRpyLRsejbJmJWIZDDBs7nFwERvYNG9jTIBnoMdlui9Z1sm3XCgBJ4Xij
SGY6yaGvjqSojzmoBAZ5nAIlY70Gth6oTJVqMzO30BMfvUR/Yb/YOJLQrov2QskRt4aKCwEJjPsc
1S9ExRHsPjo1cXCtZ18x0OrMvTZDm4ACb+GpEM2UL4wRmH30IPB/rfXULdkyepVJpFhPRmecnTF/
5CTQghHGoRG0Xb9AFnMvQplvEdAxF7FCxQvhuCyxNGFEAlXYj5sxA+oQlwxtyFZdUEbZBOnQBapd
Ysog397OZXBq7OrYC69d9mXxNe5qaFrRrtDdw+DipO6SA7E8Gz3N95ESXagJQ7ZyortkZj3Nsca8
Vkt7IGagHtYYnw6uQW4D9vgduC59Zaf84V64xWx1oFP31e6cNW5PuTShBqaI26Mzf9apYxa1BkW/
Ft2I9niw9/HcrV0RCtI5EqfrHoqwHsq1iCq6CBDOyxtj7Nv7UojxUQQ6LF5bbYdmiw/JegrT0tp3
bZWFZ/LuQnfX1Yr5FIS2TsiOxZw3Jyx2SazQgxaZ9soSOo9GEGargOdla5aQgseEKcbIc7eyKgGd
vFEfe7Pfzpju8fbY28jmOO/INMMxDjk1lMGVi2dHFJgfQcPMnEryc2aH6V0PzGCVk+9MxzbTGdwk
X8PGuWpsprjk6KwntB5bAHqZ71TOteF1n/NpuK8t0MW8xRs3QD/h9bjK1PnsmfGhTyfLryr1GSsg
aKSCIA8QHdqoZX5Hc2NbZ0rMsxacplTV/akDFKiAllkUtG3TXSHx1WQUPTvlEKHsB23twLiO0+RF
h3ldJuJFwMAu6qlazFCxCeblPZSgbAditiqOxVAu83TrMhks5k3cxxtlcE+hhG0PULdt6NsgeXaB
xHE7cLlJ7dbA0KGkyiS0G+cwMYhgvCMJ9G4k2ruQkG9CEvJFQrWOtxAoCSRwY1A1Px9pQOp2fR0n
Fm3wxjnKqrOUIHHUfxyWGYnWkX5pSti4FYLYbxrgdnDI6X/gh6ovFYjQZPXaD4k7vCYSXT6K7DBK
mPkgukMAZM+Ccg4x+TRJ7LkO/7ySIPQ+qdaxp0Jid4l7AJUOTz2kWCwxXTHqLxCt+SQ4EuOWLemP
3DheajBMM7/Y5HmvR4liN9zukOBxWzDTtvkPxRoJ/97sALj3ccR4FKY7zEfWZ4bp6YBbVIlv4N0+
1xDgddqzKTTVATh8avBVq2BiG8mNdwDI51r4JfG8rYWOv1T41wDUfDcAnQY9n+v/mKH+9Sc0CDnY
z+pJgI4/KCf5ob/KyZ+b/d90trYFrkpHsPatnCS0SVelLQmez586mb+mWc6/JUvUBMoDBtqEd/o7
0yzkKx/LScTDjNtMJlr8FfzC78tJl1g6ghrU+WTk0X1NZwje7URQT4XZQ5vztVvbG42HyJoUfxDe
PXQ2RuY9J/7cs28Tl8zLstthqF1BmsOw4TiE7qziaKzustJDFKyrV6FSNLuOhZCUkCxRXnSGqwyX
3syBTiCNgtabZ1C6B1vpI8ylo1CV3sKyt29G6TZ0yb0hRZiRhDQiRnPKXlDeTlgUQcvdGZREC1W6
F9WG+gI7YxS7ew00J0Eqr82M0V36HkPSYiuMkCwL9/rQ4ozseLMCzJJD1cAWDYqvk/RRRhgqA+ms
1KXH0tLFqcN0WWcUC9abDxNDZi2dmZ0asJxg2AxVnJtUctoau69Ds1XB6jmKUvGRGBy03jnR2sUx
Ex3m3vHRATpIJPCLavpwaIbqIZJGUtOBVpoZVykW084C/xejUG0wn3bNuB6kG1ULaGdW5Vdd1ZZD
E197vaxIyaatwnyn5dN9irFVKYevakNJqiqT4+sG3uA5piWgKGm3MLJ0W7cKbMvIpo8FhT/Q1Z5M
ksg96QztGPFgqh46on5JI/Y7ibAuE9qUOYO6lUtrzS8ER2Y0jq/RFO4LA1VMFyTqgmQrv3B1Vixj
2/cNqeKAUAx0HUiym7qid0vrZdPhgksXhF/sjK7x29aifwJRxijpA0UFXR01eElB+aWZID2pp/Ar
xHNoY4zhd0owAjRSulpjhL4hMpRntYGq2ww0NLWUIFV0TUBx3Av0ZMPKVclQwrhmE+JsgM8smpuo
DcxLvcvRKegh3HuHUOa56bfRIGYYmJnJNuQsXar1TaEQdJDx/F/2scuiau6Uur1XLWur9vr9OJCZ
HkatuuxaXbtEnpEcmeJS3qGVXkUW+DcwE8qiEGR+QJYNNpOmqZeVMPQraK/Up+mw8UysU2O4z9M2
ACauP0M0slDETPEJ4Af5VujNJzdf9x2p8wwwM98ai5epLdf6EH8qQ0DlOH1XIVnLfpJN2QnD4yLG
dfVuUftTyvo/RZ+fS3A27f/+S64B35Srf5jqMHvBH4RWhlj2w5GzMgRccsXTTll+l5qfLWs55rvf
voTHadtgos5KiEr3+2VoqkLREkNonmhz9+l5qm4L7w/j1z+zQ+kx/PkeVZXtD7oe8uf+2qboehhS
YIkdFzQNHpDvuh7gBsk1daQaQ9qtvzU9gM1pRAH+6T3hufi2S9HqYEuDwWXSw6VL8RuaizeG97sn
kOGhK7c87CgwM0z5hHz/eCQNYZnOrEenXEWFdBHpQOGFptI2s5qiCM8llfJ+7mv7yY7Msdl6SoH0
jmid8bGZnfYe+kh543mxBaXC6EfSMQqne2iNXuP8QBNiZUcMlsxYuRc6i48IZ9PPdD31dWGfXRwD
PUHF/QBxMZuex3B+Jkra5E27tls3J9tI3ehZHrOAcm7XUnslBmDXSrNHNw0jizahHzbk3hAi/ZzW
DSn2aK7Ac4QyQ4Sm6DRDR0A+LtM/hEyAcnGGejszbJrFMEL+ze1rc7Cu89jWlqnhfJ4CcTm7Tbj0
Bvalor6pDP0pctGjlQF7RVEkPeSZmeTE2Mv9ciiZYprWdWI7x8Ft8ZKC6CJ49QjT99BHKcfFQCeE
qoUYYDYhkr0RhEE1p9dDXd3V5lxdGM1QLuaCYp0WpqAyn1oCvaTYLkPX2Bki8kURZkfwSID/qk8o
t+HHaGq17NXmC7ybCWmbyFZu22+zloRXvL8ap6zKcRIOMp4PiVgAC9PXlLAIEhM+A6Tiox8OrrWN
C/6XOQjABF55XzBqo5y+ckHKuFX2qqXRrV0C2+m6hKxXeDiIAq/iSuZHWE7kI8wNGM3ax1Dy/MrM
vI5s+9ZsoHURDfAZnsphnozranJVchnIrCsKh/SwoUxI4xOHAh9vp46oMstik8WKWDAxJnROAxlR
F1Bz2mxp22O85sS1sqvuhii00VfA5CwYma7N2hkue9nMcaYWq25j7rrUzu/dXAanpv3VPLCXWUZ0
WYAvJqaGZLpk6u+aKXkJhtHa2lHDgNpU16RcPECA+uQEoa9TkGQ5KZdC/hnqcK1MeGGC+ZQBB6KJ
tfaCMw9reUkQzjHz0vM82U+xTf+ggAu8bgQ57CbHXCT106Gzeew0KzmWesnm1/CHK+6D4tBJ66wx
9rVEBL7SSG50emlV+YksxQM4+vPQ0sugpT8sQsdcK0b9RIQDpBb9Lu+yEFKNs68G+zTFo8H+T2ni
EcY21BSPQXuLtPOF8LoL/F5f9CC/bTsHOoh9TIZU26mRA7oxYyRglXwPjLQ+Z9rIKzajo3FFhsKv
sE/cPIntY/SpbpBYa2p+0gPtXLNtgiV6UZTAd0tPXTgRQsAcnIqkw3I0iw5O3hUPke01NE4zfaGo
RXZQIPoy94NPHSCn8J08f0aYk666KbvS2uATs9/JR5+G0Mozt547H7Oiu+g1hgW9+Tja+TPVJOFY
XHTUr5IqXmYBMUmk/bSZujENc2tUsPGA61/01PaLwnSL9ZQWS1OXzjTEC5MV7b2+Mw6x1hRXOEyD
di8GjXzxuSCrTTdmvFx1h57AfejzAud2mZM+X8eYwOpM7Ta0rADZFSX2CGHqZzGZe5S12mXEi+Xz
nVuAcKlMrAHvCb0W8TDXRXhNQEd2SDBlbzo+gtWYKdkW6hSMlooSGnt4EKqLwe6ibacYSLj0iEtP
YALXSoKL/m13+meblmaD/75NywTyYx+3/3N6oaHzAw+p/PF3uzWbKvwTT1fdP9ygf88opAwI5yay
HUZ5ACi/bdfS6cTPQIjD34BV4p2H1Py3i9aHjCC27D/Sy39ju+b3fNisMU0xaDZ1fh++KTnBeOf+
bhiutFSSIbT8cNHqhxjN3buP5vxH6fm+IP04BaEa8EDT8YtsnBrEd3yEIedaqXpVNonLMHV2BHgD
cNL1pFk7uQC5iYYSjTV+oBkKw8pWKkxCWudaNzp9HFa4zrMvnMbx2l0RBvVF39CS9fM3t5E8DIuV
+eZCUnn85xXRj6uyGtVqmzI9XJGuq26E9C4h6dMxXEAhxyVRr1rpcTLsSiXY1j4n0vtUpTkDB+mH
ipWQ5h4c9ERhICMtU0UzR1/zpBvIMIyBMfhuqyorL5tMHc9kxv9baZWZc5Ywc9W46YqKnnRVi/qq
E/wVcT2vZ7T7C0VEn4xKA2cUNQs1Uwha89KdMdSbgbV07G1t4XTKZR8N91Zq3NZee9Ok8zEshnvb
QtDg2sxw09gkhM1coVQ8RlGy08Iw3WlNj4RC2Ad6h4jXIY+hjifiUKhoVqS0dNozMXmsCCxGKOPY
Cxlp1MR2svWKiJax+hLZ6QS9ynB8ExsLZ1vtS5SV2XJinDSVNgnpQAIAggCU74QAZWcE84HW4mEI
lI2gjdgpcbjJM6thHo4dYwY+NsYX+SjpHobJUoeoYJ6bHf3r68iqs00CuGgZKumuoXXNyqXtilY0
qybKb8qmO0QGZ0dlUu3XaUiRHDUh+RS6vRb0gtlJEQOYWHAVhvf5EOxEVTO9BiisJQgjUqJQoXIP
FA2JdWOZUwkEjZ5vWxTWogg8nU3NJBR96i5qe1AAlja7IRXTpszUL6bdfwYoiNA2s/OD4eUynwBm
6lVFZuVSEzJSUuMcjM9J2XsoOTatq75CcdvNtnLZac5dR2J7FjFxcKcGRYHr94Z2nHP3aiiKNZOG
ZdIEq1ZTyHAeU2D5OqnZHfw1gw/eKqSOYHjQZqT9lRUucTY8zfZwUaocnONG7MHhnGd+6aAVFzmM
stlEGVwpz3qrfVEUsSvN+WgEqC+cewKkSnfes4+4awvdRONYd/WswYsXLwMFDAET3YFswaOFlCcM
SHoxiGzA3EFiXKjjDkJz1Iza0TOL0B/NU43dIwfnH804G6y5XlN23LqivTPps4sQeoQVhWdzQI9M
M4GchCE+EHq8o2+GGmDQ7isluoVbd4cqmwp1XDth9VV3xL72lL3AGIMzyt7XibfJYPYvXKddGqWG
w7E3u2tzTPbc38FK1CejZ2+bDCg95OsR+GBUmGZMkW6FkutkhLvOp9Yt4UeKaQoocIL0WuBBXwiR
aSuzwXRDxyBa1kqaMliURWw3UVnryL9HXgtgc9ike1PqcLJmoHHUo3HgDaM7DG3N62hY1IH7MjP4
o4Sy75UW+ePQ2pdBVCEiyWj1dKbX8jDjbhkmchswQHOy0K3rTlUb/DBjzTCLbrmmJYehJAezSscF
bhsSras2XKee+cm2bxK++WXdK/PSkbE3rpHZFwFC55WYsbjQGH8xQyTtdj1FvHIe35F1S5gaxLxk
QjkxhUeyz+bFlAZXaVe+MBvykyAhAUanclLUm8DmWzaqp7ZPiWBJtkPSfXWa8YT9NAG5SWPbGLNH
DGzryHaeSlBxvdvqFEDEBwUjMWxdW7iLxJmObUAC+YT2jxNaUuufoVqKTYVQLimGx8EINpbZMYeI
+6e2M9dVw9ecjoDAnQe4x/dWXzxYWgmGTyQ3IpuOhTduuxotuDImD2E07eKRV1SIiyHIwe/CJlIz
+7rr5pPV2o8isi5LmjeuOTyMIFDpgu5jZx7Wg+mxWKhE+5jeqiAxHa97i/rF3lBCISAkLWVByMou
bEW0iowCK5dl3zDT4xPMNBxhhXNbD/G+MxjPYarniBod6oAWlxIX55jJ1rZMwgdrqvHLqc3Wkj1I
c1oqvbgwCu6epPQjo9Btk4Z7pmKPXgVKdS79yk1PhuVuMaxDAwhyKkZyl1xlSQ2/7bOZ5Po+eEZo
suezXsYzbi1YXHuzn65akpL8xGz3iapsG8t+ClRACFMmZ9I3tEKXsGznNe6xcpHH0Vk1xddAHS1Z
mD6pJudOHYUS/VnIovUtqekzXaxyO1Drb10vn44EWywTXT/C2Huy8RaqJFYtdL3soPghZi1Nczyr
OrUsh1pjlbrNJxJAwrWiuidV5neMRV0fWtiBfheJfE3P+jXOiGuqVZQ1Y2XzvJBwvGJSHSwMM84+
A7N3ljpNbXs5TvoF4/Xg68+LkA9dMUoQj26EblOFoLLFfvp9maOllgZSNVAuk+TOTu9T78W0fq/x
9h+XkJXWu0pq4im2055LqPWEouvUVydCfn5+G7J596659+c1MM5QG9JdND7cBkLMCVpvHJ6IA2Bx
BId2FOKWU9zPL0MD6T8uA7QYRw+oclTlH7AiYZlMhpMO4akH3FBDvW113sP6rjfP46DRI2k4/ezf
rvnPUUKW1P/9KHHxpfhcvsbFDw4R8gf/OkQwmYJHQMa9TlcYbjT/9PchwpQaKBeUAqR86HV8Wd8M
AwBqeFg8nhX9zRXwd88Peo31LU7vNw4QVPHfPy2WqlqGzoGE4RQiLO9tavXuwXfYPV3sSspJUzL0
4DRgVHP+Eoyo81Irg2wL4tbSknXzBr0lsLG59iQJV3cGBSWtIwm5IWIJF3fwRG5lqzUPaCOA6VoK
LRjU0TmrD8bGhNRNHkV33oQty0xLG3KDkhqhpTRFsoiI1VAp3rrBMUkFrr6GNSbKWhfVuowwVo49
Fk+WOboQJf+tIQ2Yfao3T9WbKVPaM2dyYvZj4eyThMS5EXMVGag6pFBl0+v9C9l7HK6l4ZPZBlYm
ObfACzpJU2juWCt6DcOlKw2juVSpetJE2kw4mCdpLG1SQbgdXlNjIqvKpee30KURdTZG5FaiPSdt
Qetl6rJH+mjTjaY9xGYLh1BJL+M6jJYMB6+SuSsWWN8vJpUuqEuXZUTr1cZkXLtM+8wuQ1ktTbOO
tM8SnhfvizdLrTTXotZQV+2b45YSaKQ3gw2XIkRWa1hzybGbcFd4i6QrDb8jq7k2MfKmkEyvZmnu
LVozvRL4fUtp/PWkBZgigh9K5zlesw5hRfeNgqS1RPqGG+kgnt/MxEKYsHbfLMZJRC7IgvSQ4Mbi
spvhLcmTB7vYFc0w0BfB/BvYinsRm5CEOHcEF5DuWtSYmpRlan30mEmhZoRiM2yQbo4EA6wYxD6m
WheuAvSddCxzHz3sMQsisvuS6ZRJMWiEKjSaLQrtEPhsjpwnl9JRs3HBsBb4OZTB3jVSYKpLqemQ
TDeRFJ/qKFFNDpQbr0FdIqzeXZiTpHbEPdBXawE1l0NWM4y6eTFYlbJn/cTyjSvtbL3FOzaoYlSq
T0DceguFp6LmPDa1x4mTB+2ENcteN7WF+cOkH6SUJZquUSfgbO43UJ6e5KCrUxnaTVjT96OQ4vIh
1NaWGbiXwAzWSu591pWWYN78quz7u0AxLtrK0fuFrlSXkxJPO93mZI2kfatY7B45w71bNQmClet+
6aiq48zh9O8cp6j0VqDON7WYVjbKFe755E7F0crzp3lQDpYWH/MI3UPcW8FF4SJlyu3KWPdReBNN
IiSVMts1eGXSmi/JjWgrjgT4KvhqFuihnsMehmJnxycxlICKC/p6SjfkJCXUvmZnO6+zVm7TPOcN
drgy1XAaf7WdmKUlXzMgWJNk5qsDc7VQZ0LMsC2qkp0DecobhT8CU1xEHUpzpCF3bgYY3+zvQCq7
PKReaaPE9Ox94M5fqxoF/tzvHKLNDHoFlKsGjCeOF0oKHnt4jmwDH9KwasOQqDnLPbdpce2W+mcv
5R3OM+NL503XpkJIel5XFxOHfCU1/YrvOE96+AFatwjzwR9mtVqgBHnFkHc7yudRS5Nd00fnucQt
ge4ckAJU+HLr5KXPQkqP0lKv8kIQEj75+jztiqBfKi69zFnZ0HfeOrbq5xV5k61YK5YqWIniV9tF
T69UW0wpfho5q6kqT0WluqtCLTdAv5JF0odnHbtDPIRbobrLvFSOyCDXUxYjU9E5JQi/5hWhMPCD
RlsibPCDLvvSZF/KoL8m8J0nUt1yJCfZvvhkIYRrZ0hUJtdgQGwGZKGT5NV2NtJ5Cw2PuDaFd5sl
gJqJgMfLPaqb3Gx8L/B4AgMMCI66pub8OtXxJSvcGp2o30bu0nZhH4RttGNivSVK65OqdXRr3Rvb
rj65UXsdDoDm8s8FmLhaJckNO+jCMeI16SPrFnA0LMpVRDxeaERXBsEi5WBc07f+qindQm9oimBG
qlR1q3jD1m2VtRplNwkZ6Z2l3TElWTiE3y1sq1oFChArtV/zKl62nrvWjHYPmZoL1ivOWYJJSrss
a84jzMJex778xK9CGEtG0dSaFSHWZC040eiDW3tui5axu3Ig0mSHhH1VTk60GJqUhDg2CU6OtY8Y
lmO57Wz0bnjI++Kpg8sxVc4OTTMOV/gYZddsC9faqSLnDG15GzBmn8ZGfSgb7GKKhs5L0Lju+ey8
VVh02Bksnk5nM1jDFQChQzWDs1D6myx2tq4IToGM6Tbz/RBoF+CncW71MZGP05nEEyRT46Ia3auk
8Y6GJh4rm5ZQgwoBsvdd0NhXLX6corWuoUyoC7BnNz0z56FCqIjbCjZ1dsysEAhXrS5GFLyNXKjm
8tOUdge9sTZVJU1kI6O+0W9HWfQUCLmKu6aa9ppeHhTdjE5KgNIAx3Z20+Jg9We92zdIYecRZjwU
FkVJPqOHvEu6HK0V4ZQLD2cExFeGPxzvSxxcsfbZzpnwd/WntIl2HF9OrLc4hZsUyUx7sOaY9zJz
Un9WtcfIaqu1Z6S3eQNntRbphuCLc5K6CYMx1BElDHWM79sAq+OoK/kq5kQ3tOjvwIf72qTL8HDi
04szss5NEghsftPnSqlWSps8d+D1ZHoWbwA8+WRwoJfTmomUwkd8Su+q9/OMTUJgJhwUFwixtebo
iQPMWcc0PFEusP606ABDMQPDLw5TFx6aDuwrgkhoIsSDt4x64tRXolHZFzrZo/gvNLpLjVbuMqW7
mJm2tk312rvNKkyI6wgyjtYmso1cZft7V9L+oAX84fT1ViEyJ7Yd04DZhQX6+6NRNzYN7clCOak5
Ut90UabXZBj8os8sDyXvzkZ/XsRGmGGA1DDeUOTvylBU6qqNUUA5CfelQS7bP4oSxgTNwV91tH9U
8Bq0iv+60ofjURmUkzYHXEknn9lk8uKQqzzvSvs+6Z/i0vb/H58eb5OF7kvTUIh//+npqH/dICvD
86A8df2hDl+L7PXnl/jRHVEtUyxzGQPz7/eXCGx4LN5URWdChHHf9tO0yiJkROEmRmGld79I4/zB
82BqMmGbyQICgY+ncakY1ye1i8/k/C1iAye7bL//4p6+n2xIIQzf9ruLfDiPt4HSWXbARRIG811z
TLzoF8fkX92G/Pd3T9zQzUxTIeKcUcjbI8638jZAbf/zr+bDWfw/buPDV1OlU1oNeRufBbzmyPK9
+AxRjgXu0UIngBWyb39xxR/dFk4N3OfgtSzQHt/fVhq7QFfxUp+d+oqWDZbbnfOb/Zi3uwIAYmOA
5ytiAvX9NQLLUGx3aBKyX6JVbjMAKn3si7//0ZEgh/AKkKajfyQNk0zhOHFME6apHgv7GHFSTFgM
vOAm6Q8m0vkxuPr5FeUz9WENYon7dsUPXxbub6+ptAlHCoI44gYhpP1iMZAQt3eXkFAUS3PApuho
axioyeP++4euLU3oHELLz8kRneaOzfMCCtbKuoquLZ/I8TUm2vXP7+r7S/7xJr2/qw+XxGuUC4AT
yXmw24WOjEEHy6eX259f5cefHV06lZ3Tsq0Pj4Q9a7bT5WpyJnTD1zEfuN0vPjv56X/8dnCK8bTR
DgST8OHBrojUxI+lJGca3AvgzVSbT7GJhzBJfnEvP/rE3l/J+P5L4kRcNqgjkrNmfYncKyu4qedf
LG8/vgQEYc1zeJOcD49arKWDa85hei6Kk9WLhWA4p/f2LzbVH60+PGx/X+XDV582A3MR5ovnOH3N
lG1gKKvGXFtp76fdWUk3mfWL7+g/bgtQj+MA65HDbc00P5QKsF2dKnfK7NwNm7p5Gu1VPV//5oP2
4RL00t6/QbDB+UCjOjuPM9kuCgBLCPf/n0tId6FKwUOf7ftLJEIwM+SkdW6zV2XeoTf6xQX+41Hm
HhDyWbwnNN50S27o77Yelk5n1Io5P1Pn5T0WwWQXM4wBwvB2I/90ZXX93Tcq+eN/csUlhvd//3Xx
pXn98pn26xtrfPf5f//1h8NA/tTfLVn13yqIWstiSiNhtPzT3y1Z7d+k/8EApx/KqvWuJWs4/8ZY
qmM6JRTF83h5v8kw8Z6asMRRThrIseBr/o4ME8Mqj8C31e5NhunQvUcFKim25sei21B0eiF1mp40
1eyavdfFlQodIzcV/GSpgzbdRhjo93VSX2kOhAo9381NvhW7nRokm0KaDmULqnPv6epUMm7qVjPM
5qCKrIw+BdKHZHcQDycKVz9/MymluPRATW0r3cr8GCtTmU4noWQD9Yr+HPAg+6CWDhX2p8IWIJQw
RJGNtSEHfl73rrjHLPrZrpzryiABDRlBtQ0FqUG9W27N1rsiV/vrUDb6Kk9yekgabqxq7NK7AIMW
FG50fkz0/VRoJxcT15jDz7alryuUDi/RuNvBZjKdp+NWzj1N6QYby4mgROkQK8t6WFFMJNvKyLOV
1zhoCMoAw1cdferTulsWVsVMlTTXxSwFVRjhM5yMUmU1SsEVYyuOwPWbDouoz4npIuKsKFJlJhmC
rVZKtyCWhtdOh5zLlsKuUkq8YB5Yp9hF9gX+QrucUILVUhIWSXFYIWVidu10m0ZKx6I3FdkgBWU6
yrJASswKKTYDBzlA8USAhkgfLVoiZWnAcYyDWzWc/HJvIkwQCWsd701HsbWdl9JZXuuwO4bJSbUX
Df3Bsu8BE9QEgkRDv4Cwh4UYqUMEPxGH/7xWrfzKhCM4MlgvAYs26Rf8yg8E6h1LFSNr7oybDJ+a
D6f5ovGUi1bReZDyeGlV2bWIin2lN4+6kh6TMZa5ZfmtEUbjqovcVxM7mB46l0UucN5FnZPi7p1i
fQWH1GC8b0XJfAFQjtEvHPu0Ii/aMJF+pFO06/MAKXBA10HYurvK5/B1Fiy7gQpepvLokJZSKmmh
dqHda73SeW6kTjP1obohMojEqte6pZNPd+ALxJLIaos+2ZD400TrHrLrZWeP+dJVLax+YQ4Khihp
EfNfAt1cRLRaHA5QfqpKf7flpT4so2EzRfGwVIV66Vgok9IGX+xUpe1eVbuDHYvBpwurr+KsVRZq
rj/ZgpFzMJU3o4zj9ibyY4OidRY1QDYPN+SCCZCHV9r5kgfh56xEiczb5XfJ1C0SCpvewjgzDTTD
VZwrfTvlq1Kj60vDwlu7UpShmeGyUJsOWK3VUcopNIRxaSZOme6Ltitv/9k/3tgFEnn836d6CATZ
Ufzs+UcAA/mjf28i7BSqiyqf0Zn2R8j135uIzj/pJkWEZZImIXeKb1p+Nn84BSjt/9pf/tLy24gD
kRJ6NmpCPCC/x080P4TDyE2ErGvGVDLFlqvJP+J9neFooQbJ0yppdTQsODIPWhvpDghRMJQToUaI
c7rODFrUeaFXTHWix9xz9uh+6Ot2yKnKSwcIemIpp1mBqmKy5WQ8bUeaj+UJuvL9pJqfXK9Sl/CA
poWr4Cif0lu7AY+ldvOiSkNydsrEASZgzIDw5qRSV5mL5XbpypdK4+2a5WsG9mPYRIyc/NRyccWp
HbxR3stZvqBaOC013tg5KHmx5Evcy9dZ4b0W8gWfgLj7ttday0i+/sOg3g1yPUim1SgXiM6DM2K/
LRqsHrZcRiq5oNRyaYEcSFrk23JTJK9e7LmrSS5FEE9TNMvowgoz2GVyweIotSoLRd2oTIcOlqWM
xyCOPPxHecHClNzFNWEVSoZhCbPUicQCX66Bi3Em0sDub9ES2n6W1nc2mk1GGBCAjfFoohBfG3XQ
Yx2FIV0oWeWPpko3mekj0K3+ghEnDYqpBIAwKJuqAcBQ6PcQDImUYXSFlMeinaptHYOY2CmNPw+a
cREW8+WsM8Lo6exhom0gSxOM2Jc9IkSM5pgYaCzqxARxIFBm0YFzYnNsSzQmVZeQNqgDcOvsqzSg
vQ3FgjnnHK5qM3fXo1K+1jp53rraXurAg8wakAERHjneDC3rD4aBjic320M98MwEfXuuY5vZZspH
o6KoWpnoW1pkaW3Sb+rauHCsCFCth42vHpJym2rFMq2U/2PvTLrbRtIo+4uQJzADW4KjSIqapw2O
bMuYgcAQmH59X9jtSqfLldXZ61rkJn0kiiSA+Ib37ts1qUaqUdWeZ47wlY15PlCec4dW5IwqFcjA
1I+BVbAGNEhTxtw2J6vc6og/gk+2ykECtVH7MPpjvO3T8hxZ4dtUszTJwfJEaGfXdieerLp+S032
IXqerqcair6XRLe4tE/6WKznaLyuW/9Lw5SIeWTLZ9g6h6jG/z879qlT7SWp2lq7raB8zB/TiO8P
Rfvaz+QTBEpilAkWbQkzPpcqk1dp579Wmbjr7OaLhwuwAX8s5whqmbOW7UCpp20bYRyrPL5Oqupq
TNtr5v43fYnYrW6hSeWhwnkZ2l8RLCr2QoMJNliFLraJsp/vDWc+R3UDop9w5m2U2JRJpsPrwvbM
m93gzu2GzcV+mM2bxn5tNWRahfIfSx8Wb8oo2mgYHnY2seso0uV8Q1LnPuwTziZb3fKwg+7RrQ12
rKioOITCOrwx2w7kuom8FUVipZI7V3eDcIruZwns2GnQG8Yja0SjgQdhFW658yPdRFRAJr2ZObs8
SqLFL79oBWLChSfwcJriyiklpUuJmXtV0C95o/biWuXXqhFfwIJngVXlT/DITzaWRGx90lrj7sCg
3YRgz1P5yVNaePKz+JyMHo8JIW6IN+ZmcGv9Mpj5B7EN40bMw4dqNYosZ7wzh0kezLJ/Q862rS3x
MiUuNNAagDM5ekgICIW3Wms3qui5HH21zoZyK71p14fVWsjmxk8oE+GEzC0ZgXZNlo0LH41om31V
Tj4BoPajp8I1r9wHWLAedPqUXWxXLem4utzIMR03tWacR26DG7fy7+yp3Y+5lQRl3pNoj4fCWBQP
CSFAbOCWCBwXFVzWWkwX6/e4lmCdJhw+5FxvdI8puv85oShvO/Mu4zPhHNDZU1KBdrl3U3QG2zOM
8WGfsWcIXWxQMz6UoU93cY0sLklzfzV12hcQ/CybsyV6nIWQHV3HKbAxZJX90dL0csMXOu0x8N6N
JcuKQsbrqEr0tfLAqIw1Ilr0ZjD2RjQH68wzjzHy+MUQ9ibaOTnwOGYfYgFyYv2lxaAvEtiS89Tg
/HQUpRoySD9qP2cGgEKtRZhhuzNijvoctcClDUOyuRpPlmjTAHPMToGItDN5jSIzP0h9uETdeCeg
cmmhOSFqc49V7e81XRse4nlS20EZH5nPJIby7BbVH3nn+Wx+H4/8rx83GAf+53rqXP1WIMXP/Cik
dKz2qJCYiBhspRE7/dmNY5cEZsrk1NYdgkgXSNSPQgoVFDUSXko4Ua75Ld/rRyHl/oHQCmMEIKh/
nl9KLMa/deOUTw5OZuLEyMN1l3//aWDTzswEla2ca1h/84mMJiFZh3txba21kfihBXCmwHloZKDk
mB5Ct0LhU8AsUUn6TdEg8jNAUlGwv454Dc49TN4W+2lFP7aJwIeiC5oHG6Th0LHpfx4UBBtYf5HF
QzFzNV8eWqvRKdJ62xnJ9XShesRaFW1du9ECNZbPhkC3gJBs3y22xrbtu1Xdi37FoVmwpNFaUijF
Q1oa56Z08k1VpECtxR0eaIg0+khuJcA/WRXHsg5P+jA+TS0qZSjQIfakApH6ARsc6+yIVgTvQRJk
LhL+fHRpQTxWlyqkwsPd/Vy4/o0u6EBzmISaajM4WRzOjMMlfmbyOFmnGkuhlqj+pUNWQ4GXH4tE
ILitphuCrqft4PRO4ChfBWFfd4HpzuM661hfC+IZNpPNFhYE70bYalqnClDd4PVfNGs8Al3B/o9A
KihC/cs4yipQdrtNRb1P8C2QlJyfUs+QQUKShLKBG6X1cEJBrYI+ofmaK/Me48m2dpWxDbMwKLQC
tTRBYweG98iRreo6Nao7ONQB485jAjIhHplV9Bj0dJdMKpV/siaJXzPu1yTEQ1HN1nlsQXWQ0ZUV
YimRHhCSEFYCNXmKr7PKtt7kgp8yu3OhYRrM8iY9QSjaYQ95VphMWU/5gE8mM1lrTnQzupzRFrHi
et1d9QqnRC2a56haUHuZfZwm/b6Lxg0pYP0qHUn8KdM7fCinxDbXmQuO1XHmBMgOsmOJYx59cxgH
grhSamsXcbz5UeV6u9exO0OMqK5tvex2MeaR0swe6YeoPetVJeuLFktUEn6GqDz3cdbkKdit4mlw
vfXC+VbCfBVSVZTi9q4f8vsxs3ECLRrbRUoTe+zEpjYFHyWM+CglshXTnwGdD8Nz6RqLkrl7HsPh
SbfaB6tllgFYfVfG/iVt7UBLUXLZ3ScIgYSylOgJlJvJdZ3p68oDQ2N26j5MAVhUqa4oKiKE4hZ1
RlffEc/6ihDojdCzJBiTKUVVntSkfVh6YAn12CfIZPTMStaVE+NbqK6E67+XOIFXIqqNwKj0e9Zv
26SxHmQrdppZ3QyCGmlMzHtEud7aiwWwhVG7jmLrnLhSC4iL2o5JjiyQ+oeIk/cimsc9YSh71TcW
0EjPD0oNlyIDrGrbdeVrWmLtneBGcZfN3tEXE3QyHS2BmJslLW9bDCCCQgOYAl40Z+VoA0l600XX
LWQ/FEJVU1/j+31E4hJfQdjIN44+fmSJf5daMJIdExG3no/Qt+bp69Bj0+37HJ5mZFgBix6cyW2n
7yCJVUgM1L0TYmB2GIMS+aGBTJPJhOSosqnD4n0Wje9O3JWbzinLzej4eC/rs65ZYDZH+CLUMIgo
IU7ZoKdmEFQNKCpqhP00V6/lN0YVsCp3oVZJ8FVi4VhR8AGzU3iyR8M6RFDqV8TqLTCP9IyJ54qI
uN0EGMv1sYE24bHI00Pc1fdhXH/tFpIWHLjTBFoLZ9qDXFhb5sRADsG7c/R5LvJspNMDc7xxF0pX
Cq6rXLhd7gDBKwcVYS9Mr2GheyX98OQvvC9VadzTCwOMYJXXcaGCjeDBsoUTBva9glJigG4DImYM
H8PCFCOUKNmUk3WMneJ1nPhEdR8BD6ahTdhXT98COcwWUApI0jgCvjVlLvoYE5VQW332DettbsTX
XudiwIr7IBu+sMFC52/nHWV+VJJhW7g3PXRAYjl0xkLQYfO8v0YMd8dbRTsbX2YCUFAcUolFvWas
Zoh5LsMSoMTiQGAjCj14owdrwLonw5fY9bHd5clHQd+3Cq0B1zIbl32b9Y/4LOYA0cGMSu9bJOT/
pk7fpk4G67K/rZK6j+Zj+s3egp/7USkZ4g+U5CwNWYIuhdJPlRJYemK0WFo5jmOLb7kcPyol5w9f
B1/1DS6/YCV+lEn2Hy4mVVbe2AUc9oT2P1laEBH2a5kEHQsaOTwK6CJsE37ZNxaS7M5J95zrwsS8
Q/Sdta6E++oyualc9QzQ6zGbb0Nw2CC1Nkbt3aouegzzOQuQ3AKJR+9Vl9MZY3qkfTaH7LGgXF/r
ZpPupqb85HRIwKG40C2k8J1JQOVoQZ3eEDsFLD4whP6mlb38pHdYCc0wHzY85kKokSlwOEDPYdRc
lQPamNSMnwsEg3RkrzOiwlx6TTDQPk1pduvH5nvj6C9jD+La6cYzNK8qmCBWr2WdHpVCqW0XVf88
Ce8NIHZypEsNN/pA/pSQ6WOm8jcxufPBKlCGklCBuHvez7Xx1rfFNfD6YHJcQO+7jHSPGgccIZrD
o4qTVy/R9oOonttGi65cQ659urqi7Mk6FVvWR0y7kuuFiFBPzcIKjb9UeN6pHgEJOsO1v5j/q8Q4
WNUWuf0KCnFgGPdRfW4Q3nbZa23gruRP3LXtvGxg+nVuIZdkFMHsOzWQBFrhCmZ9y6rFL4NwMJG/
aSenqIZ91dGwhonaDFWKcNc5McObt5YTU9fk+b6u8i8NgrV1Z7RM1Buxa5w5Duxe3Uyevxcpx5MI
+3IXl0hvE9TpecnrQbZu7Yjezm0+iXlKIKyj9fDmdYXUbnRCfyFRnhAFXnLpXxc0+E5KDAfcw9MQ
xfMKv5Rrz5BZLYS8ubChwC1YgQhxbuAM2F3yDPNq7rbwzpOuIMKI9nhKfFTfBRS/zn1H8H0AyNlt
VYtuFpATzeR0O7hOG7hLJEFtfp6MtA6sOr0rdWrmmG9Ok+ajDRCvLkhhZb3vnWpNP+RedZbp+AZn
6ylu20+yJqeUiWu4nolJoApRLCQaCpMs7bB8ddW6r7NnlTCJnBnkBklc3IatZQZZP+7Jn6m2WLRK
AkGcYZWREm8kKQhG9NRAlSopLxbeyQwiiq3nKIqpp2SPGWDKTYyH5Vuu497Uh3M105ngO7iCVnkS
JOcZhZpXOa4zr/c+pcTS+nEEcdXIAaG2D0Ob3EulPSKFO4iyulKN9VE5ziEjtAt4w1vZ5piwaj7U
mdGl2RxNVZ1VD/AKPe1tXvS7MUxOlnKgEg576Ve4mzl4JmuPRPgqspBTN5N5lPlwHFpxI2Ir36q5
oeboXgaXmqW1Zsqq7iIV4P9pdq8a37izE3nMEmD1GUbPKS/UIe2NiyWacyRdhNI9JooJXEVk3LdV
+8yReAzH9Kxiax1H010pcoAj3PRZHm9Z6D9jZt/ZUbUvnMQ7wN/cOf2wBFx1+P78JKDfZFEWHegy
bwutx9/MODZWeBh98cKsOA9A5Odr31B3Q2zjtQNwNbvIgdnqv7C127uKs3piTDbONGeYH7B+vs2e
vxs01mU+ZVrSv5bgsFpbfJ1h80PApfeAfZHQBNPazVpZ3Bkkcgck4ObG1qtsnn2jaV4BeZ03jZMf
/UidLBzoY6c6wuX8YxzHF6vPj2E0YUatovNA4MEm8ctPfUKkA6j4a034u7ryrxvA4cAzxm1RC32T
2PpToqvTqFvPZqYBP0vv5+UrhFX0SRK5VpGjACbrqEfa8yj6i6nr1wK/MLbSZQY7vBsabVAiI4Tz
NRV4x3fR6Pa2VFGyq73iTZrmefJpf7uk2WdVumNaO6xbR39CDX9Vt/0KMzx5YtptD3knMKwHN1Ib
HJqfcKTez2y7TqVdy4OIwjtZlGdtwdiFdb6xZvsNgvmObOiVZcJwYWJtbYZmNPYZLa1hRB8ZFeIK
jZo4TjhdoSwZW12X9lYk5s6tmR5xUUj4Q9T2TiT2baFe2iG5r2n1JxU9hE27LzVa23Hwnsoh2fGe
HwgtfO7quD+M1k22uJBFHxipA7G/GPHKVpehix4SMbdrz+n3Wo6ZZ/YOTevczrm+byKfj0a/aHVT
4uaebntl3GdsBEGQkzrgkfux6nWS+Ezn3Oac9xt2jEa+UUOdPNlF0vHwZ4RllAz/Cy/vt3HtkIyE
MSfxeu5OZhQ4sJi78pbYgO4pGHduVPo3kHA8Zrt9uZm1pF4ZPQbaqAdJ06viE4kDG8sp0y0nDP4c
qFNEvy47yohNercPGROuxyXQour9/irNxwKEzvS1bFp8VhCBs6nMAjNt8Bgybt3Yef7cA26gY3ca
RPQgWPS4dbVVkTqEKRTRCYmDvJS13r2kwPDJppobDSHBYN+2AxmMuTez2xmIskmItrJ01AJzvp51
7YS166qXyY3hZVtrTDeuMT8RIHrH2PuoauyOrlkGRk4GXqnXL+Fgp4u2e9PoLVmfGWkgFrAZs+s+
9SnhUJn3aoXmuR/wGYGSKVS/7UIbaWv7gMlgWntu/M6T9UmYzR5j3EXY40eYmkfgsux0Y2ToCVV/
q5kvcraPblKcwyQ3qZALzOno2yXifMUR3UyYVb6vxux1nlV3XZslcFjng4yckz0me72ZV1EmD4U/
rOxKZOvEhWXopOatPxT3HShIvObTuijLhzIfSkYT2ZGm8yCEdiaUOaAU2hljfehCf6dlhLO79RFy
9bNjmce81K8ak5PW9LaZJz/TGLMkiW7HkEphwisxh/GmoRu26+6jiP2TVpIZzkU3juqo/PwzK00g
I2SUVyK5I69nQ1Br4FvMt8wCDO8o7tsMJkZXalowYeiYXBZ2ILLCHnjWgi1UfksUob4vlPGC/I1N
oj5ubWJeTOQWlBb1Kinzmqd79pKbCjWFTTwhchE/Yy6rovygyfSJ7K2d6c03ojdixPb6wzSg5Ujl
c6U7gs6ZnZTWJ1/CpuqDMR0U2gTzerDFdRiZZHd2zgap1cYK3V3qJwc/Ef42isJjn80fcrKvO4m3
med7d3IMLpaoGmwmS0y4YoJJN+HkeJdKr65Ki3kCa0ywluI2t7RT3kE11CJz27bkcIZ2DL2rRTBP
AMmrPeBE83nS4CsYsfx62IGG6nkkI1pqzis0lXArk/pFYPEguExts7bPMQHwrr1Q35NBwWoD01Jf
+fE+avI0QMlylqwus0ibL5rRHKUe1WsDQ9G6bgo6xZHEtIloEchbXycyhPS+vo+SkeyWuTgwM2BL
2KnT3Cyntm29jDo3WoomYt2MeHvqybrWs+QaBlVgpVZ8cOO5PZF1uiAPzWcD2szV0IS3fpu/4gG0
9svt7piLOrfkNEd3aL56MXQuad0yR0xOvlmuPV0eIikeWD0ANLEFJiTFIIOlCQCLOhI71pTsAOzi
K3oh3PAmEBfTe4B7cJXQ4WeMA/uclMjW6F4mvb5jqbDAU93rVI9IXE235EhMRPemT3Xuv1qjeYcm
vzraZlqCenYAOXbW61z4B39Bd6QiYQbT84u1Wt8SQAQfrbT6fUoOEaOkhQBDCI0w70c9NWgjGmA0
G+87MiYzHW1jfEfJ/NTx3XzXd/1M26EV+0n1tbB2QHI4hqtzxmP7/dW6bSRCjIZRJpdUIgcsz+08
rnzr/u9f5K/Ssh8v4ugWCgNMRL8Os7NwbEytbZOLmA5aeRaEAmrWQzc8/P3L0In++3txka5ZSPmX
+AT+/aeZeSiETxcgKNyNr0P1qJn/xZbym9/P5B+CJSBLPq5fP6uWDPOKQLL8Ug5caHsvfP/Hf7+L
SJNPiA9qcVv/9e+P3GVAa9fFxaPvsG/s/wvJ/I8p9b+4Nr5/1z99Pr80y5aT6Yzv+XwgbGtFkEGK
c9cW8/YPltB//1Z+81IubfciOrVRZ/u/fBW5x7wQEFJ2Eekej1AnVpJBqhVwDEPJ//vXWv7sP4WL
366uv3wtyyX+09cu9KToXVaPF2kGzN/IP+PWWngR/fbvX+h3b+rn7/+XN1W6qY+15vsLMRUvY0Lm
t5wjy1Es/8u19pv7Ems8jiHkOSyqjF+ENCZqi4qDt7y05jbM3/txY4ef//7t/O5y/uklfr3c5tam
VkIddym99zR8tbT/j8t5oU671kLARvf61++FDCm7szSD8B+egAxw8ykN/v4d/OZDYkMmnEUBu6An
kNT+/M2XWkl97+jVZXbfB/daLRuf7r88u373pXMRIz9E04SgCTHWz69B0oUsJ28uLrgu8X8vGxf7
tif7jFWZ+V+u5N+8lid4G4bueiwaf31OxiHsNz+1y0u89NSbZDGgb9yamfrOuPv20f1vMbzomv/z
yPP6XXIV/5tMm5/517jTIE9T5wxxcQAhLeGa+klhhwGJgEvMBosP7SeFnfcH8m3DpEn3GUN+E3f/
mHh6f+g2QcIugFvU38L9R1GbplgeMn8+7VDYLTNVnkKowdk1A4r/6/XY1G1h2b0xX6RscaBSYqwa
5CYUVdOjnta7cBHGDiCAQqk+CRXCBR2Buo/WsbXDnE2V9uj3xMzZ09me8YXauOSNEAiEiJKLQ1jK
FHo3Io90tHDKAMkmdtnonwfTPlVFtfMif69SA60daFuPsGNkZ+RBonW9d+xKbTsTpphTkt/rox/r
rejsOuSAaSTjrrza3kwGywYwqLvCTA7CJrZLGt6TK80bCv+Ljep8pZqyxzvc5+Q4TLtwRGcz2f4t
QqH7iPKwtFl1TTYwiyivBMJb62OoovQ8z0ois+R1JrvfzVoTBSZBRgiX9zQtYktKMiOffIgZhiSi
Q5Air5SIso1BGuhKGa6/zuI6SHJ769f5pwh6Vzfxp8u+3am6wRxbWeluRL6zdUW8rQCxgScGYtaR
w9jG68bK9YMxVUeiUJMrnciikFlv4DVEN4YZE8WsYlEzOPe1njiQv5suYHLMu/Ab6+LlzqEcWOcQ
0wYvtrXzA+O5awfsuVmWkKS68K2NvIdUw8idaObemsIPqpRyBcQMEoJTrFtGuris4PdqlrWv4rBF
BlyIB2ah2NNH+0APN66tSN4hK9+D13CD2IaWEM1tHVRJG2I76QWcVaKNZUpKJ+3ABqHktKlD9mh2
lH1udBq0viYrs9Nm486vdQ9DeQYRnYgMwqvitdbpYtsPwl90jEYBhyMsD47S7H3kiSEYNC87SM8m
gNAiY8pCJUhtmu66ys7rfdNGVXjvkWp0pTvxl0ir5MYDLXc1SyQ4xA4fmjp6YFzLRrQz9pYmu4Dn
/waFmr3p4fp5fVkdS685t23xtRoR5FjzgP+gf5Et4yEW0E/KQK+YoMcI+lC+9ID4Nm47n1Q5IiQU
VtB46e3ceQRPVdGuG+wzC1huCe2pG3QRWMO8Tw06FyeyLi7yeOXB1EhYxQM6qVYI5HeoJE65A3hG
+N3bLMNLL7JHxID4bmAXR0bNVpq8kyDV62TTpFW7TeLy3RfZOY60YMyjeCN8/1zm/r7jgA4GFyFU
mDySlVMHkRbFJKWIL2Yin/rMW0OenFYNKKD3vrE3iItee4uxxtB5Z3NkeaeTRnnrZNYbfrxjq7tf
kOIdab2vZ51NKApBxJf2Zawq41w2xS4XzLek6xzNsQmahg5aM+K7PhKLgHN6M9yHTNtYk3eUSbL1
ibNchTH6yFJqD0kPX7rL8ltIPBrL6uZVat1d6qiQDfN8ExMdGThmtzYH8rKSdKNpzn5esDzkC8Dn
aLCUs6pd5bF/BmAInyO7JAVuRYtv3cBw37tjtMuK+c13+m7bFU3geHtGaSkZVCnksL4+qWE++DL5
hE6Q7Gtdh3Y8+PhQ0vsutz/5BGCu1Ug2eVm7T5GGLFAvQm7iKsaXEHfYNngWrvw5H3dtaUzFdxPz
/05cg4L8b07cj/79y+/OXH7qX2eu+IN1JZWcZVDGLSL0P89cBO+eEPi+LRP1+uI0/7Fi9P+wDcfx
MC2hyFp+/M8tIzF/wv7mZPIgXf2zJaNp/rXB+Hbk0k7CUENlxQv+umQMVSJNO0ymCwQ/c3I5OkKm
3WPnP46zMazEBBvRN8qTN+d33mR9mmSuBS6iGpIsiIgn5AlKdedftZl/MQXdwqg5n/w4O+fKf5rn
+tEcyq8gHba15shVglU7l4Uk79ZZ1PPzThjFCYIE7Iqw90EnMV0ShDjntF8s4bInB7vS1qQzJZ2q
Zv1GeGVl2C9ZzmU+zZ+00GOxlvn7oVaPWdLdNL51nTDn2WGpvC+y8bGqxug67LurauiJuNbao+4x
phyJ7CjGivc8r1PErLWnDsqLt0wUQgA35baMtWclGclxpmNAvqbt287kOa9BrAO1LFs4B4NaI3PZ
1h60LBONqG7pXxAWXdpMd1ZRUk/3M6i/pA8J+JAt+ckj519qIrkkkW8VlVq68TX7tZgzEsWG0EWY
KfIrt0r8dT3oLWq4cIdgDETlsOwWfXvtT1Qmgz+vTB39CFQbZoL2E9oOsk8i1DMMxhSH9krZFRKy
0WEz+agPA3p+KFp1vGYaKeJNnnZ9w/YzSjlu4ii31mHF1g+244n5+iZrp53Ix/089M5GgfxZpVG0
G4XVB+4cwsqEC2O56HEBRn3I1D7novVXIADeZotqDaABA75QPXZl+ZZAzAlt2Fm4AmyrPUxKHceG
CEAnLfeVATk4zqSN0qs/+4KYqoxlFi6x58lyrgrJdrGwp3dyuutHq4B0U1ic8P1qkMNBkUM9pmmI
Di1EF5eEe/zzhFzX5nFSmb7yNUAxk0YILbDZJ62HoOTU2nbwjZ1IehR96IC8cDjMvp2tRCUdPF0l
uQS4DAgP2CUJycXCxZxnhFtTQR3RcBU3jXqamcTntvG1MvnMeMC/CI/Vd5g9IgN/jYrmZozRf4yd
h05sfmkb3CECQQ8LNDcgQ3FTjt1VgWaaDcf80oNoYqr+3k3JhvDMI7qptZ7IVydBFR7CG8VFxbA7
b/IHjovHmMZ2JZXV8qdlRxhqGzmjYuzc1xrz26pRzrlBnTzH1k6YxMCByNqJCbSXUm+2F92RYLR1
9fICNuQySuFzj80GAj7UhbVTnuasx38AcLX8kqEOU0z0wEiHuyoZlrBFCyWYPd0kZL14IuT/DGBz
O7d9mVWLEtkx3ouQVDJbZOCEW+IA88hAAjU9OAu/d6xyuKCN+0DwxREEzuvsxefcH29NQ9tRmgH1
rP0vYSH2hQ/J1yFAnT0KF2C4UJPGTZgaH3ZqSW4o/YHL+AUleMxjobruEtA7vvnFR+G8SbXhpgpZ
+RStbgVor1wy2SAd5w7WEq9jn2JnY34zZf5dlvFcYRRdH8I+Fpti0omgcPxPY9i9Z3l9E0KSRpVo
h2tY2kgXp9qnrLGP0mutm9n0duQQxRgL+zq9l6X+OZwQkUfZ/DhX1QmDziedLYHK1bQvQl/bdJlx
HWPbXLUybgFNscIhyOCjksC6Fah/QhXkAiOrOdiJoVw5vouVzc6bILSa06y7x87QrxKlH+K4u2vY
NIFuMg/OjG9Haceq4F0mSMoJAxZsfzRrjV19ncYFAdKu9X0K9r8jfzmh//ORf2ney+jjN202P/Xj
yEd/bS1SapR72MS+WZ5/tNk6HfMCrOB095i6OD+12eYf6IYcG1+H532P2/2XsMj8g3gbh//4tUua
jfFPhEUoh35ps2nXadhRPBFzAw7E+2XsUzskMg2uCPGk6vHGnPPMD3RSI4/aWItj6bakImpiUm9W
Gl8l4fTqRfocSDf9bPa2zraF1pZwD8QJm9oU6UHIWm7GNKFURbFdPREZ40wBhM42WvQjdMgkJBk8
tM3m3crD5KNTImy2RmlzILX0ASWruJLn4zZG4F1vurzFF5I3FsmbTQqiDjGvTwOCrjJUPlVCIsmh
T228MGPTfNW8aOSeRsxoJyGbb4OHiKezr10ks5pJuwcekF3bFKEdb3BbsCqWc8XMQNBYD7e6OZ/i
3l+ADiccMDDk48MI2T6wHXx+LEjtoGp7tTZaKz5Jy9kJqd2k3PN3MvSOnYw5zCLKkIhVyKlsqyYw
NNLlJwcWdSO1dO3W6jJ27UXLRm81oNlYTaxfeUYMmxj5us+jqSMIKzGn5mtmdvdJLu6Z4xQ2K5qu
vNHqbD6bFvLUWm4j6cQvhP4GLlT3EFYyoCoQ8GYVf6VnSwNDsic0Ko/1oKJaMIt7zbEHLDWcDm4N
e66hFUIH6+8lOFL8vuMqnF1nbehlfOkjMnsSSQYPSQjbbtSqOwdWsk8qDAJ7QN2+wl1lMD5JtDNc
6G3v6Jh4lbQeW19nKc0CtuG5tmXGgnFMFsGIFgWDuCtf7VAxS9E15hOrkgChoJ3Qof10K978Pyx8
uOEWXgozAQpuZll/nR+lIh5E5rfptSFiuTXzwXiPJz6ngbCS/wu++t/zb5ll/+fn34OqchJafvME
XH7uX09A/w8UkrB5HIbj3rcwjx9PQCSXwJohQbDXAOywpIP8aHq8P0ghNwnGMGAt0fMw/vsxaPx3
VMQ/wPR+5+f8OWhcKD4WfZfJVQI5iDXEL09AvbeB7lZFcZnt+Ar1zcrqKwDoiMXnMq22eEKsVRrm
Z2vJvQESRnKevksQB8ZKOxAFufYJyilZfCqCc4ZWvmfKegVgF2QE64yzfop8az/HVNfZkr0Tu9Fr
SxhPv6TyOMTzoC53AutbYs+S3TPrA4aNJc8nz+KW+HIyfirCftT31B+ceksOkF/5yJgZQDATJX/I
3iJOvonH6iKXDCHppy/DkipUES9Erc/zSmWLshwqrnIqwqJII7LHmBjfJaEoWbKK7Mk7dYQXmYQY
mdP4MVnzGZLwp5yQo2EiEJeY8V1F/JFjsw+oCESyCUbKl4QkP7YfTSC3c9W9DbGzJaMYa4yOYmHw
vRuLmKW8wNNM7FI6pFup6SG+EZxwqZtrK73Rnv3FMVzNkmlteoobVrOznAiYINkJTiITpSXtiaAj
cK6p/za6xQ3iR4RwXnUt61scw9uCwKjJ1S+s6LbKHO8mGgMaAqSqREyZOvqzXHvprRC9htg6SinM
PiiazLz4hP/oUWrItYsluUof0+tpybKqCbUSYziuWwrDp9o6ON+Cr8i1JTKjJg0rIhYrXPKxCptn
4qR6IK+wDZcMrWRJ0+rq8knxZ4Q1ScnZkrhlDdXOTgSfjQe8VUw4ePke0lQDH7okdlVLdtc0mXeJ
Vx2HIfyC4IshnkPMV+XcaQY6Xq1zTv6SBKaWTLB4SQdLmvhOY+RmY0M9oSZiW1enD15YfvYEHWpY
YLrLvpAb+RT5zLeQKpNHxpvayyWZzKdrXoX0xYFLbJlpcQYkbhjktIwoJ9R6JuLMnrMdDd8+M3A5
lAr8rdGqD2oaubYchm/ClS8VkWm+LvNTbPNp10ue2jeCQjnq7cpsG6a1rIJWM3SMlcPM/Ex5TuJG
dsf43sMXkrJpSjS8l6MHf1WVOJyIdRNYG046QW+EK7wkBL/Zln3HMDkJ3CUTTtNJhyuWnLgyRA7j
T2Ci8W6+ScLkPELlTHuAYmTP1+wHvoS9hgWGADpfeneKw20wGZzqYXhwM42sOi76/8PeeWzHjWRb
9Ff6B1ALQATcNH0mmfROmmCREgnvTQD4+reD1aVWme63al5TSRSTyUTENefsw6Df32EHyddMgFG4
RVkH4xMoVtqQd2cs8ytWe1wWOgsv5x1d9cTj9aOxMYnLs2YP94RO0GO8Ah/QLrYzPEfuOR2zN5K3
Z2Tzaz+SvzeND1mOgXPybzId0EcYn1wrHdonSO8jEKPEQeptY+LB48+c8KQBNmoxfRgc5JAlceL8
XucTEGpSfWqJNxhDj40fRAe050iWkOPAPINOvMXq9Ip1+zDXPbWLi/HX9BKGH4p0uLnFsW436h46
ScVwH/tEaEdQxoTL69F2FTXwCeTPP2xtZZmdPFzh3EENmht3zWC+d9r4It0iOVV4YWo8MZ02x9i4
ZOravPZwzcDjdBmvYqQpkcfsXIjnsTbZhLhtJuLDcP5iwGlYcq4ybcoZcOdIbdOptGEnSrDujNrE
k+PmCaU7HSr8PY2bVPuAo1Hi/GkIPVnHeIGWPr7uclFg3tW7E/xCKi1IzJXVTYOTKNWOooWzEocR
qh57XX2ajirvFZLxiWLqZGtbktIGJQenEsJLax1q81Ke4gNrtaGJkNMvIw6ntm/uYm15isB/YRoe
QO/QZ0p8UbU2SLU4pQZhwGIQMGGUtlExDnhL25yjol5X+Kw46PZRg7bYxoE148TKcGS1jQ8eIBue
pTZrWbCKNqY2cC3aypV8mrooton0w+iVWwLdY3pfAmReaqxgYWZ9Udmk2/N053y6xrR/TDDPCFr7
aXRvVXdawheVXMhY3JY4zUhOfkqN4jHBgeZqK5qLJ83W5rRa29TM1H23OOihSQQ36Ed5tLWpzdD2
Nk8b3XJteUskdoQAq1+d342BffC0OQ7r13bBLUeQ4EWs7XNJNDx7PX4wE2dd01/RGKCPH5BJekTj
aP8dYcsJBoYWGVabMLBY9kA20kvm6ha2pvYcaCcfiINsx4QtpRwXgv4Zx5+D9U9hAXQIRV53ro98
3aqiAMXbIFigTNW7z5D9rMp+JTUj1vGe06pQ+7ZPtMO7WeYrKyZvPe74PXvz4rLG6dHIAhXm/DqF
/RJc45Wors3FWA6oveVx9OKrvI19/3WQ87xfJhAgMaX1lssjZbMW7QrHOtu1c+Q0OrkhHx00MUBo
iawxWime0MtzQowNbPrOOGB4vZKyiw5lbL6L2XzH4v/GlYOcLJ4gSxubwicLhP2ewDOx6oRVbRhd
fJsSZiVOFO9tM7XZMRAcUEbuC/kiQHYsRjaqibeN1VXodZcdkU5age2yEtnk9VtvniwZ3mWhdzAM
ZV+R1X4tamISE9Lf11luPvL2c4tb+Tvm+dOIwXZHetctYtt96ndoUITHdHSCFgT6mGEMIs+V1aiX
smevMuX3Dokvbu48FkFzMzcpoQVLdlQSpnsCdoHnhLXMtEOr+uBV8huH6w0C7nKdx3wEEre5s4x2
xwFn7ZUkPjKw4DXEyBC9xTqUbm/jLCyuPVgeK0yWaJppC7ft1PN5UFGOgnqJV63bbYuJ5q92GZQl
lf26dBiCc6X2XkJTpj01FLkvbVtfTl7uravC2FrJtHaU/4WrhSWffcdM9YIn94DVB46Vih9rEATr
NMnPyuKqzazLJOwvYNE+O7X1AvlFWzu9586eztWEt0MlgQGHSFuMneipmE1WMkZ+XJJTK9vzFEW7
WtmQxhL/NnZq7mjDfRzq8byAAjPL5C2XTE0zAsw6MV+OqBwPczv3DA/dc2HRbboFB6ER700ncTeN
I5GB25fKXC6GVoh1hPh37S7uc6qK4kaE5rKJet8gQKi1N2MMAmscWGIr9v6Yb8oZZ6KHIm9pD50k
SrM10zdPUcP403Dj1QACAmJU93S43WXRtNgUhboAXeNzKIX7LCf1LChUSs0Z9jxcDlpj+UBTe3IT
r9gzEzgGVFuQ32uRuqtlDNx/QwD/accEvcl/b8fukvEdFfH3v+jH9Bf+6MckrZVmJvumZKtEY/Vb
O8asymXLxOKHcRACj592UGSpMLti6oQeg8bMYVb1WzsmfoG3COmPKcS/w1T+Rjv2yZ79TzeGbATK
MvMwUKQuoUQsyX7ftsd2iVSXQ/vcVk1Te5dGDgGefkeaHTGEaKKz62CwRcbTHVrcPGpYdhambIqZ
HlgcwQb59VA1xkoVk3F0nFKch8yYN8ruygsmr8X9LEp1PUyyviyTvvrWR7062YXK7qWlCIStUuxZ
/eS9h3aCvED64c5KW3ITvKavvsYmgzRk0HhYW1WvZJDvM9tSmyUvnTdOfuvDEMlyZ3duMoCshxVY
zjy3BGDS0rjNZrI5pR0zxS4Vg3EriiF8sCEw3w21kcf3ZupkUYcr2GqWI2oAFiwtI0IxbSyvjGy+
4YD5nzk6g8U23szKr+ZXip3xtm0tn7k8DEAWOGSjmVeuW6fbwkma9NFIF0evdDLPA+vmNi3ib4F7
1hkhveKuFUc5Fv12QbG18RZWBzDm/b5uNpYey5ljGzgXo57YUQwxvCv0HI/oTkZ6RqPHe3NSCsF1
06XHGd9KsKkWebdY3egdbD0lrBgX9mkeU2PB1D87OOiOfuMn492SIiyYW6eECBLzwVTngvTI0vh1
GPTPiaD1kv/9RLjJX7+9t38xoOarfjsOmMFQQErCxj6trfqh/+08wPaKrpWhiIvW+FPR9WM8Q9I6
eHJNFAkQC5oWX/XbeaDZISjByF6CYP6Jbvsb5wEhZH8YUKMDczTdXdM6bU2s/v2BMM4KpQcfjOt+
GtHM99lzNc53XjWO2zyIrgurSb8xAy1XySwecIyz3RQG6hpPfRixucOcK/F7gyCKqM1ISMak4+HG
SdrwrY2QBU25BvMM5R3PcsSmuAr3agzPfkH3E9fe2yCSe3dcnmMUOBhfcKnbtVxPVVwcMq8+iRp1
WuFp+3tQ7pbcvud7bVTP2dTiDWfwMluEg2BP5Kk891nwiCYaaUYWfU87/0zi4q0pp+s46g6VR4HA
huzW5pTZSV8AmJDjzWRjBEM66648m+BPEhD0ImvFPn0tmoGJu6QiUrV1oM8sdkFfdaQ69P52AN+2
FRmsH5AXtMUFU+1aPrQBWU9zQHMitgN8hRWp08k6KebjYqVy3ZexjyVveXKC78wZNi01DCqjkzf2
L4O5JOs6JXpIioTA7pkFvDsOuIum+X00q+NoeTtPMM4IzPgpspjC63o8h/G0wi7BFlyrijyCmbwr
rYuKqvapMpw3bL8XcBbx1Swbl4CghsTTIcxubY5qbAvunc87FCYex03V7lSeX7UyuHMT8y2bFnMF
op89nqkxRp56LGz5JUVYzvBboZYpiVQcGEEEk3dB4vSDkeNfchfzKRnTnES+9GIR4SMorSucmRdR
m4GRzPN3qqmv02g81ALrXjzdEba7M13jhXTNb/RVyACceVy3NTneizaX2V3z4c3zvTkAfGpkcObX
dKlSD9MIKBj5gSluG9r8OPq+qj2QVLZM7ivc027qo6GKvP2Ses6qLauvonS/CEKw1+U8vcpB8fmy
MIUWEUzZsa8urTFnmLE8B60oNlRo0Mjc0+DOh8rtv4+GhAUWiwcH1VbEbB5+TnNjmaqHuTFOOjSV
otiY040Rk9Y0C18f5dlT2vMmLagQVg575ZUs7LverbdBXdB8FG2wJX+kPoXEeFzZQ/U0dV/y5ih4
5r4USBkrDZONI0b+Sy9BYszx7aza4Bhmulf1umkPjxQ06KAkYF0rheQSs5806g/EfH2AXa3p2Z3G
IVjBvsia5XH8FC04FLvICaIwk/dlKJAAYAR6SmRabSWiBzNwFrCgkrAkiR5CCyP8lB1LGeyhxKCZ
IHN5Q8pGfkpq6W2Jw9VON/GlGh0oVHpZnsd8pEtFyxDTsSSIu9dGUmwiP5ju/ZrBRYXxc4qX73o5
QtaYv0kQeZiIPYaMWONlwp1e0m/C3YqwyXhXk5QrfOukpfjPCdKR2HfCVY+YBIf9MUFc0mJ7yxGb
5Mmwq7XAYEGGUtU4uw2EKTIuo6scqUom3XveXWvfIGLpUoQEiFoCxC2tkKyXQvXWufKpqsRLYXoQ
KBHEpHry0TBt1DbcJyfGo4mSI17jNrxSWlFTam1NFueXJmIb/tQGzwK1rOkdNGwocuwGirnIPual
eaxT76lukjObt7e2I8XFLLxrF3GPO1TmSjaxYAqqsKL1qPnM0Hozp/TORxzELw+VUAo8tc+8x2Ic
FU+IgNaofBpRfFCuXkajQVpWKfvpqudhmnn0PDbXXWwfu4hVdsJOG/QQug7rRHb2RTj0l2TmkSOj
1+C5cmMNhgwYlxWQhj1gvIRMLyQK9++GnppVQZPu+iFIwCuZV+QaG9tRr95tdvBLFL4ac3EZs5s3
9JLemuZvhl7bz3CP163CWt1JBKczRZ4XNd8UVhIcvshb2ao/Jj7jjLr+liwIpCLbLB7QXx6M0n4k
VKxYhzW/jdwLd0wpQHeG7L9cdfSKOtyE7sCkiNuh7iGPKCSJRc5nDVMse7WcDND21JrWzCI/j0qG
anj6urDvgq920fXe+bMQ+KciEiz6/ldFNBSv3Z8rIv1VP1dEREMC2fisX3Qs+88VESQQ+iMyWlhl
UYz8e2ElzV+khGpOjcoO6NdF/28VEQI+MN7o6hh7Qoyl5fo7FZGnN5c/t0gOSBGw5rwKRAA+PJDf
V0Qyjkoyxmfr2oFzkx2AMdtI1prszJZqLZfulvHXM+tgnuc+36soeDYSNklFDHMHsW9ACDPSkOmR
PCQ2/lV769LO02BdDCGO2GI6igli4nBwUuNLFUUc+pxi0bWVBtEZ/bS/dh3qB89iTZN18BPcefmO
II1J1YB6iuC9L54MIRoKo99J1X9ZquLAcDvaCGe8Qcoktgx7E/7evFhGpsq0gWfJBpcHOX8qjWEm
JNJ8T+ruQy32d9/AOFwNWbymFLkv/IkjbJJf1Gw8t4tkbb00iPZcUr+X4Kp05/nCkNkdsgYmkCUM
8YlUZ9bE/MOw+2DxLPmH3bd2tDakaBE4bicQGkNJ8HncNtgnxTcze0HYFHcuAHLI8I5quaQJyQm9
vt1whM5y7WSEjKFnEAh9azErxrCiD16tRIbjNpmgxcflGIMrKrMDgDs9QDaGFSSNeovaASmlGWi7
pZ/vEGQRdG+PrbV2E9Zmc6T6W5aBFj9Y3t6OlUj3jIKaFecKbxUk9VXXohqIm5Q5Zsl0t2jcl2pp
0VQM0L9lKxnEVF227fUVS9ZxsQ2D0MFar+ZbPpssM4fU3KRqXMeVW50CfKvkmsvkHNKXblQwdKc4
Gr391KKRwHRKjk5jI64yYrKqrWz4sIPK3zdxM6wbIKwHyzXexp5fH/GsevqJEtRqWO8n4FkO0nTf
A4N96tAotQUmwQQ0kMfcHLp15aT5jS9wJlhd6bIdRfYWsHfZy1yQTDZ2zt6Pm/disoI98+aYStXI
b7ylik68c1wfoSpf/Qo0hD0n5iE0iSzpTAhSpY1oRVh91tI2e4i/WqN8q2cylaoO3V7noI1mANZe
KK9SF5Ea2n0Qg64hE1Dsa0h4W355chV2zkeC62sl5/gD2JbYa7IgE7mlAN4S1NRRvi/fzAJ1JaU3
avSCzQhTfpaHtRy3FEsWY78Q+mxaQq7jmYtOLap2+LDshrcx0XnmdhL+hMQcgfcHW9L54FuWfVtR
8G2ghHUXfbiYgECoKFpzesghysJiAeFash2FW9M8zUYQrc0lJEGVjGk8Aowux+6LETXPeVVSHvkB
0pICzdxYgHxPTQ9q1pw+WWV1kzZd8nUOgBvYcRSDZPChvtUYl5fhNinhWjhunqzJoW2OweC+x/n4
FbXOTkV+vJ4C40OlvZ50Jl9A/Z/g3bxMrvL28LZAMRetPkSCM2/FcciCj4rn1NCyj77wH0zfuWks
5gGW463KFha2Kb+hBHgec4NZRzvd9EvrH/22PVRLd98twWPDwGdr9tQzzdASTAD7GbvAvBc2gta0
pNjxCXxTiElaP76LzNZZeRHb2SEXzYVjLq+sgxlll/YhqeJT5oXXvlBnYxLNZqYr5UmBWQZhn5Im
yQkthFXylvqoVt2sTw+RGBk7S2C7EwXZyUW0sJJu1a2kU7xBx+bMMocSp3ZzUynjHq2tRp5lySkC
RoHaMSLqgGkNL4mKb2aLu6O4dFm8qui2wCeLAhVAB7xssVrMkLZLf9O+duItFOpgb4KLvMujtt74
NkAPTphh36UuDZEzBftaWqxaUho38JY5J4w3A9FlGR12iQB0UMhtsDBrdVvnA+UTseZyOULuuEZN
elGI9JKcnGIrlGnvBejerSCAfJeRsLuLPccEihwSeUlewMF2J2Lrkegmcb6AFUjsvS0mjvqUVxsX
PLW2wumQl2wh0ITlMP05pcwGCbYq+UmddnQO8YhPa0gtd2+kKITTgqa2ifpoXRbYbzimhtU/pQ7z
WcfUQU3/vdS5f/1GFiwWwL+I0NZf+aPcscjJppqA9krp8jn1/anc8V1mQ7/9DV/1H30OYUDcynpG
y/wXt99PAyCTMsjyyH/hwUFS83fKHYizfyx3PAou/eog1SJ3/GOkj0jHkv5jUtdT7uNMwqSwg4eQ
butUi86nHjF21vFcOnL8wrr3ou54JFzw/XQpSaJR2d0mLH2LLG13i62MdnouvTXMeuMCkP6rE9rL
VTD078ptOgJ+AZHWeXjPTtk9lyPXzjyKhsd1bK6w/W/TKH7qCeZQLGZ2EO1PcJ5PsrU+sml+UjGT
EpldNzlYFss+BAmDIZZU8SopRI2EBiD4Mot8g4C+QyTI7ITJ3HvqyUflGl+z0XhXo85FDYGnTgpF
QlkV35sCLFpmGle9ifTQgvG6UrCxV6xO3uYYshu4TGudM6JhkAURe5irp7iobm03IqgYnJk3Sy7r
oR+3UbsfonOUHN1a3DWdCzwpfF80Daq8cS24QQSXXJUMO5YpfS4aAj7s8FtcOg+jE3LzpR9zpEXX
uX3ra4K+P3CDjVGHa4tt3DyQsDnkcb6bemi7TcDZ2rrzfQF4cdN7Sh6woaVrwXqPSdzA6KSSy7oA
QL3uQli9HIvdRvbRIYvZ1RWG2BO6kt7B4LIZnGMaSGeGG1bijBunIse5bTTkBS8Hq1WrPrEhvqu6
CcAF5v89DqgjQ6Fk04o+gbuTOochDObsqYwMLzrb3VI8QzpFTJqjpeTtG5f1JChnxymhUnH8jw4m
yBSP13HfAt/57MH6z36sJRT1OwoFzwAZin8tkVa4cyAuXXsmm0NuKxAr9gy8HMXPuVjs5BGz3xPL
5ukg3OBrlkwFl3SdXCuZ2hujHhDAzv5DUKqjKIh+bUNQ9AvuxdayHo2B43cwldhO4VLuR0VOTiGL
ZuWxyLzuSvwhJu+l6MbzBJbugU8AZlPpVdB38+mmnBkI+oOqH6JmfOtwmV94mT3iuYjfa4tqYZGz
yerUujLIBsIeCxulMByLVrsfDu0QtgcbJNZ94zY5edxe+ZDZ0LdqK4kxNtYPld9v+t5lzjSwOYCJ
f5hcBlVDaHAtAzAjU34G2RSEwMPbaV1A2906CcArDO04DpPQPfWz+TqF9bqJ1RO+ohorqDmzTazT
TSQDqt5JGkfDCNTXLFUKEFgTIoXoyz0E4uxbhj71kMNvWi2Nf8oU6/IRZ+O27YNFblqsiSvXCdpb
JazwMgZ8cvbH+apjdI1MAqoBFhuezGJsd0Q/T5veLruz4S9kKFgZZDNnWrb/3Ee/3kf/Uy1K9su/
Vu96p/YX7fdPelEWEiz/aKLxpes1JD32T/eRK9kscB2Ac9FJYD/uIzicPgsC80eL/eM6crX8FO4C
ZyCXpsac/63u+08mucB2LJMFpZbL09Trv/+JwtENs+PgSDVILipSdHLHMQn5TOYuyBzNFcy8+WBo
0iBei1tuIdRLmkKowBGqGS4hfivixFAIIa1O12g/UWZojmGjiYYJaEMWl08VqMPabM7IV44osv3L
WtMQZQUvthaPOKn3heYlRj3RUZqg6IBSRH69hg/SrUNh3gYmtEXlw9pq0/bZnLyPCenULlX1fWGn
j56lh5cZk7rBwHCCPONFDvWwSSxyODJEW2lUw5qrjF3ZZMMKGcZeZQYna8hSohuKU7x4iuiqsOI+
gwFmbMJJfq3z0Zhv6Sz9cUfuuCIOotLRSUSpmTWOOJ2xFEA4R+we7GoLS+uok5hsji+YSmI76pSm
TMc16dymoIQorpOcBjP93hPtRIMXQOb0nZXor/Lx0e4qj+kvWVA0rUzoiIfydE6URWBUCtWNkh7E
Fbyscd1V44Ubdt2pMcs3UJ1puynzuDK3TPG5kt1C2rfNZ6AOFe8GifiDGeN985hFdBNzPK7rl1JW
TzR4SGyXqbrk9p/XhhdsSw+zY1SjBK6uOqvbF5Ajc5J+Jid8YY7EjDkTMxnI6W4opXm0mBvDpetm
IGkohkIXIJOp8xB4Pc9+1CenkUUHWRWWWvlWSCKKEsU1wIwH1ijYFGskFQGAOvmJqus1tY60Mlhi
7SfMzlL+ebHnW5IfMLK5HbMRvZ5oa/M+YrMUNlDxllZcN2DyDEB+lAC3TuodIcXus3E4oMzrNiOA
vd4vrqcAnOxko64BwScLfvOsvOPUGcCvps8OrD6viveKqw2yOrseaH5kdzzU0P1aKH8ttL+kZy+l
8X9sf+u1q5GAC2zAaVRAAi3kgJM3XyI5My/4laerYUjfU1q5seW1GXPkbIUGD7oQCAES7AVEQrtl
oKERhf2Qn5nl3hUaXjhrjKEw5H0yqLfSQPPTPbSDZa2xkd1G8A9r2qayXk6taz2ZQapIP4fVCjER
QDmtMyOopMu+FhqqaHh0ZxqzKOAtxhq8aGkEYwOLMQitamsW7PvdBXMqtQFjfpvLrOqMTQXN0fad
N1Gb0Go15zGKrxXcx6ZVWhb7lGsgpGnPu0YjIhNokCHMyLQorwYNkSQl923UWEms45eBBk3ChrjI
c/4ZBErVg6JUbXH0YVOOOgxewyqnSQhMog7p6J8sS2hbM+stTbiMTU27BGn/JYV/WTopG0lNxDS6
A7jPLx2kTBWMW7AJ+1T4X3tImsUASr/idsdRuu5hbbZR/TJr+KatS1CEW5c+XE7fasghAeWGdV68
JLA7Vdeucw3zrHx5K6B7wva4tTXuc17GszMCAJ0ggYYlTX3Q1ocYRmjiZ8+pnV1GZvfolTjZ89S8
66GK2nV+julMM3N4zgp532r8aAGHVBY8amZ7JkuAZgBQaTSzZk1hl+Z2c9HAMuVDcqo03DSGctqF
IBo09nQgC6Gwmw1OyHw3dibuEnVhBNaFQaeLnss4ShiqJizVvm2OBWxVNbJOWrLLiaiuPl9u+zHD
MlM0ZwGVdar5yPoUYEWXP4ZwWzNk9bJxjj08107WJ+ZqR0vET2OX3DtwXxHj5IxSQrwEAN9G/y2D
EGtpVOwCMza020tS9U6lhsl2UGXjKrtIoMxO0GbZSRNlgFTDqhpznSIsliSIlRBqwSRfJBBr/6lN
PmsT+f/0yp+5dO2w/Lk20V/5U6/sMIDDlqdhcp9ekR+1iY0kgquYGgMx1CcZ57de2cPaj52ebGWy
4qDP/dQru79gQHGY5FlMuD51FH+jOCHU5Y+9MioswLH4A1kS6Jfy++IkCI0K+5kP+nNKKnRR0EFb
m+4pn8rnBCXR1tYM0c6mockzFlXQX4+NY5EdSqICHhh1gs8oWBUQWNqbwyGqoi3qDIe2sOIyLwdu
MSZMqZe+qRBNv6Upp2PJs5Br8qmnGahGPQc3cVM8OpqR2igxY8iD95qRIBn1LBKTZxCfD8SZldee
vuGQ2KrVoG89c7KSU8FFGEqmwlkQ3JJqNq0mEoQoQYZdZBMqVJIu5HIDpvU078yp3BrddNeQQzTp
QKLcaK5GlPmRbPaOjiwayS4qvPaerTaZBHN17nS8UdSLfQZGDylF922mA6XdiMathythLchHwrB/
T+uxY4mK5022DN3b5DiSqWRZsbdWk7oaNRfSX+CQf2YwTcz8dSrTlKH6yFvdlC93YaSTm3SGk6fT
nPKEW7kg4Al6xynQiU9AEbcLEVCpzoJKGlKhiG3YK50T1ejEKGMkOwqaHbQgLHYDsVJC50sJgqZy
nTjFIX2XYvKuuu82gVQe/92gE6oSnVUVW91rTNVBd03VIAm0SnFHIAdPrRWUsVWlU69mnX+F0Pjg
E4g162SsprDOjc7KMhtSsxKdnwXwyd4jD3uQC3LWbAw2PmFbAMOCE5lyCGGYOrgEcjGnHNegbHZg
Wi+6qr9RRHf1OTNEorwqnellOclzIEn5KnXeV6iTvwIiwBaiwOZmfrGJBiNq7avUWWGFGO/GDumO
RYwY33liWJ6/jx4JY4xF4DRY802q08dCYsgCnUc2ivYNZr236lvLPiYEv32NjcLbkjgTwGQqOyRA
CzHd7OTbdKyvyGvwTnVUdbdTV9l6MB4BTBA1+kGchYTI+eo0EqLjh96uradDL1jsOoIxSdh+CSTX
mpxLyNk134KlQj2AWVHkcAwOb7GPHNYo4uVR1BWuMntWa1F7937jXvTW/J7HTbaxMucuD+Powl3G
7VLguIfzbgWANTMXYS4Ug+/pUgfHvvK+Tx4KGACtyK5H+H+V1d32DdkoYXsOM/wOHopEbBik80Cm
wb8ktzhwtOvdp4KfZr5iAsPEHHbepVb4kdfhTd7OA6vz3rwe4wFuzcAeLFzyi8Yuze1ius0hGpCr
Q7PHwHBSqd1tktD+krIgWLkoGi5jaZhnoVrn3TTD7KEyZX3IR3/G15XHjIL/uZ1+7ZzpIv/XJLf8
16l6bYak/PP1pCkuP64nkzQKEKdIZ/UAVvemP64n6xfHd5GCekRcaLPlf1pn/xfBi7DJ+bJMmwkw
Dfdvm2vM67717/+MEfHfXFxr7e7vFte+qZGf6Ayl0KSbPyyuubCKaZJzez0bKGXRmxAuhRSu9FPQ
WXF5nUj3jCw2vnKddo9czrltIDOslsi8E6G8y9rhvTLrZjVNMYz68SL2rN2IQAsP1doYoVqX1qVf
WpvFRpoxyglAjbg0c6wqYiiuEETvwsi77GJjV83GLQOwR28un52p58hq3n0Wp4ho8RmVxwwzTWwY
eoshjo4fP7U8vIY0b+csvxrIUgBWfzXpgWvgThSDy95hgauS6NHhQjT4ibZ5q96CpD+H7On6VnwV
Ub4f+/5Uhu6uF8HFKJurMI6vAgwQDKoI46uvBujBomrOdD/PnmRVAgs+YMxqZNgnrfSqMqwtWn2y
KpdNbI5fgqS7iePhHKl5PbKUlUCZoeFftTbrpuCjA++vbUkDfP3htAT+a6jgmLvyOU3Ho9EFm9Hp
SLFZ2MSkm6JeVm7d3s/dDO5qSq4jx+Nk5zhK3UenKw7L3N0Vfv9W2hOzwvIKdfLl6Gp74HAq2vkw
NPDXovqDe4lUK5D7YXAUkbzzYoxxrPEPvVeyWMvVORs4oKyZmj3MXkUlseS56xi6wCofvOvB6C8j
W6eDjsd2gZTtGXdpMB0tM3ySOoc6EFu3TKxVAyA81Cj6ODSbtS7PEz9XqJ+wqOQzSZBV4r56I9OS
upn2fu0wlp1q+jVWt4Wa3nAmBQTntpHZbLs5UAiIOr9NDyjAY05cuGDXclkInE5ht4v92DLxD/DQ
bkY9W9ZD5qoZcoyN9V1W9fWpdHEJdnoobWHNOk/OMm7GmZTNnGqMeQbAduTP6Z1t2ajGzQ4mYXRI
S+A+UAT9LT/Ssi5tnBaWHo5zrYM/0APzQY/OCfhwoPrP94mcmw1IEMz6gpyqRQ/dyQtj/88cHtoe
cdouc4uUGT0GQOid6YfSw/vAsB8MpvkVBjOmrNeL7ewk034iytUmY4gOjuEdUtqZbd6zQYubnlu9
MuDfsjzgaqNmiLaJ3itUxJDpRUM9dj0EIJYPtFaQ+mv5RolHDLleUdQdvuNOBriK8Cx6U/o9MJgt
jxKV1KiXHJntv0d18LWc7UeHLQivn718ZXZEi7MiETUtJ0vFeuOUKXdrhoBwROZK0upG+Ak3VnEC
fPYkp/lj8MxTyi6GsCyCwAysQGxpsGBugyJvrvDWNbtCr3JsvdSp2O6UdRxBJMy6rR2PYjNIvJfK
Kl8USvlN1xTfjUrLMifFHge9zS7NpmNo5PvUpKcNlhFRC6Q70OTXiem9sdJ8m+RIfTmRTsvAjjE/
HaQX5/jIWgMhDikTNSvTRtj7sLJfekIEVhxTSF3BHEZDtxrc5GWOwEEFhvyWhE2xcVHUsJZ6M4Z2
09mo7KfQ3DRl+CwY5K9nYIeLPbAQA2PPrspGGt0OzHbqh5iJ0cZMdRo1UXDoXsIXgeCC0WHo8fkS
O9iYSPSwrW+XJJshAPJYtsoHbC7ER2HCUhrDSHOjWnRCiVqpojmSF+Hy2sYTvJvrqWBXPlMD+IUg
y9aEZDM+laZ56pVP/okBlyNBYroazOkyi817FfUXThk/YJEl3yslv4Tqa+VLJTbuZFwm0AXxSWSP
bUy1nTDj2uReTShaHGflrlVdFK+NSptoIVYRTTfGR8lOBzmCXJWmb+yJt0E5U2I+K7ui2tEvwCCb
b+uiK1eeNeW3STUm639qkV9rkf9pKdBT/PMrIKK/qER+dhVAl/Ut7nqueR+fEX/1oxKx4dkhYnG8
ALIUQLv/VCLeL/hybY86xTWJWP/ZZeT9YplsTE3HokABTPu3pvh/XimTX8q6wLE9lgm2+QdPQTeo
oSncWV2b1U0bye2MUPunAu0v6CP8fD+VOvT0JnBcCh386KwxHKldDT9tCZDBZGLwhuG6k+kp8Z4M
8zoge0MerPBGjQyKf90p/VfkuS1+/zP9+TvqV/TTd7QZsiasDAcA94Ox8j8bmfmzqal0f6Payj+N
PURMV3c/nbtzU3RpTTiFDpLr3mOxTbdEU2YfXcHQbEa4s8E3is7Xj+EKIM3TsdA1+dCjkX0Ek/FC
Is9NpQOkMW/CMYjwApY6XlrYMSNnHTld6PBpSQo1xItk5zieAFqDczucp3Kd6NhqTwdYl2ic2DQn
94YiF5GMa5/qDixItfKS8dIgBZvMd/JYwv9j7zyW60a2bfsrL24fFfCmcTsAtjf0oukgKEqC90i4
r78D0pFE8ajEqHjd6kpBYhMbyFy51pxjIlavYaFhFnYnc7gKwNy6AZTYslQueyTJ9GF2hcwwICVt
u8QWgAX7rlliuPviqSeVeySdu7eI6VaI94vJ7dYrex/FxuhGZjkQKNK0kIWnUyms+cbqZIc1nZTo
4qZEf7Q1a1yfxMhsa7K5uqu50vkHkTdwN7JQP3Z0tM9oDo2t3nYzFAOtptVnH00ToZGeH+nd78Z0
ALUUkBaUnvEZ3zM/Ri7GcJP0EFK71fhFN+RPGZK51WDop7HS9/gG/D6tjl0wrLBK7HBKX8q4P4qg
9uNxOiITOAq74aA95zJuz+HQ9vJ9DdRY15nP5MV8R/ht6EIMSM+xKC6LtAPoOpzTOd3LJWCQscLX
mnYIE+vRhvHaM/jUAXO3iXVXdxPde0kO12pewUUUQ4ciSEVlGtfTMSOict3aKoQPtvfhQo/s61bQ
Y1IiUMtR1KwVMlqCLL4UhXQz9Ajiaby6YB1WduzQUu0+WRGNUMVMrtRwWDkiF0jxFfKfTJ8AlKtO
lBEeb+bVg74Zmn4t64Hfmbh4FNkvy/JmLvTLPKhJqR1p8XdZ2l+PU3SNO3CHAcfnCP+gp4U3WkZD
5ozEXC5uvhSMsTADIndiHDJjY9FB4uKP+CwP4aEgnanWFUzolkOiF+l3mhavCAAFFhFeRnF/0o0E
JGsOBtHAAF94YgwObVtuG4MO7twtYUtnsNa+SmuZheJqYrDD5IqKT9ODNbqID3rTYiYinKBOmXkB
OZm2KRHFuyZDNUBBQJimtE/b+batBhQoWUcVVd4kPcLNhOg1gVzCE7b67IjkGevtqayzBOAJ2Gha
8RPSxQGFQdDb2383va+b3nIW/eMBvHv+f+5z8/G5ef7vjW/54e9HcEK12VJ0bKyowRdc66uND9oR
mw2NY2bHOg7Nnxuf8ZeiYKpl51sA6vJCXv1+BMdea2Irt8G1MvleYin/QYf4102C7QgNOsY8ROoq
pCPyBH7dJLSIVPZuyvVzlD/N7XkcH1/dlt9se7Ssf9n4livActJoI2DZc1jQ32ytImh1Ep5GcRaz
seKk9WWq9HMWoOJpui905Xzm0QRB6UiDFKnYYfvbNnUC8pBYFmzv5QYA7KawcFS0BGqLaK231SeJ
wD1XdY5UpMhrunRw5yi7UHrFSOGnd7V2EeYtw/ERV1rITfQM+s8TnI9pbt1BNnZj1AacgmhVaXlk
wlKPCQTR4+xTrS5EE/bNlY4cG3NOKD0kvJe+k+ovAorCulOIFAdlWh8U9LVuqNgXVmVJq8xuHhxC
BFeKip+v0vWBXiSGGE0tu7XScJ4gV/PQN/ET7YmjgbPWcXIW67Cvt1lRbqGdz34T1LeBkTHYjE82
2hQWo+JJkvGDKPr4hUk8rkcHJQp5WGsBKiWsuhsrySHyVTutRkkkS9uiEvuukkvPENPVmNr7ZB6x
zZH7hwJ6X1vWc6D0uHEsVKyOhG8pfu5gxbmY/BGf2dssTC4kDD4M34Fjqo9tGu4dYW3BRB/1gmil
Ru1PmYY1L9cYJNdbc6JNXerOhySeu+2cZpdNUKYsfNGhi+VHjqKLxDXZ6xLZNxkDeXXWODzODGfJ
t/WidoxWwo53U0avxEgMA3AqIL06bt3STJ+E7iCuA8stwwBHhUwEW1jsRxgGjt7f66XmkQt4Nlvz
kU32Io316yiHriKCfGPp/Skaml2JIj9EwEb+G/ufM9CSZAKrZjdkaBBomWT3iHw+KIF1bwZiXTbm
3gYLI43Nk6l3hCh2ZHxp7WPJH8/sbQTtOX+CMgxhChdCwDQkHY/VQES2qEM82RNU185uCeq2iDM0
rSfegjUIxMcwCFiV2y5ZS5SCVlV/mcpka0Pl0LXqSTTyoySR7WVNNQCLhLaC48lG9nFOgyvcZTM4
0vCYJk1KEHGFs0KybqMZCH8lIgC/sEPlHPGxktNxqpAr2LNlnOyxLfYxyenIymjbGuZN4ugPomrD
NWlWC3VheXuS4UZWCGgSlc3hdKh9ox4ZNijG9WjDNhIErR+goS/UYK1dOVkF0oe419XQmuewU0n6
Ahsjm7i5nDqwP+Ip7VcRWu6SE7pJoEDe9EELI1WipcN8Nj6PTWwea8oMnyYAu1tahV4jLel+WRn5
esSoIxOSvOpmlH9FF6TXJcrUzs2FfKhMAumjCboJGXQdR+5Kr9odHComI9rCEVTrdstQLlmFsTia
SsgmnFbFRpkNUhVmB5eeypapZ9WqpGGOYyLOLixU9AzBpPZq7vmLg6B6MebpQxNoz1Zab1nfTkmk
5J6jADabMukY0LFZ+jqGm5rG6HVZmd+UBsR/eMVBdi/S4nroQf3g3LnQY9tlZfGaRPc1SxF+WRUH
q7ZYEBU+tDVcFUILvYq+GGvUPqyDLSp1ItITr5q7I2aRTWREJ5I171NaSpqQ9wO2HWYmKRxORD1t
3JGdFpgHpZPpA+mx9bEa6AFgCm6Z9NRDfpsq+bDu0VpoCNw8DW0cBvs55cgfN6fZTs+aWm0BJF4p
NZqhjES2EezWoubxWfJ2qhIIUsLMZpdN/Z1Jxneu5tS66On9thHRahq63GHNEftBNsunQu8Q3MTS
F+YghFUIaJlcDv0d3JWLUmPQ4BG93W/7JOo3BW28DUs/g76aK6giuy3IycCRIzt7AQtyTwgGMlQD
HwFQCvwDJNLppXVr1CWtIILTZjfHcutPeoDyMq1vzWC6tQtjfpiDIvYyQdyAIULFtcjh7ABqbSqZ
gFxsqqWX8YMuQnTxAIQG3Jc9xbOXxUPErhR1W50+m5sOiIztvPGnvHw0e9Q9UN2QqgAghgE0Wfu0
nu5kRMh9jFy4rKI7kam3tqidwziN/a6UUBiVQQZLRZBWUcnyI8JPzddGvX4QZkX8Y4k3KY140AEo
4f0MtAcVtcFNoBrj2haS4yVCnt45Jf46HmYCDRPTVCg1mEQ7GPjfnhHznOlxmBTnjvkuwsadwSFq
aNr1n6sA9ffX4ejLgU7jtX9bBHTWnKdhVJzzLDtBd79jVSIgM39iuYQ9MQFmaqZs24/VOrPTbatG
QFdVF/vogZXqaBDpkTjpFdzwa7OWV1okPIFtvQiDz6UwOZvyCuizfTblkHLtR133mwLmt58cjIlF
npNBTByz/9enaCMXZdw5aXEeMK+H0+1C6ojK458v8oZp8FUJAEWFIwwjFUDe1pvvoRVpNeWp6M9V
iDEPAPwOJJlOiHPNvtH3WMWl/kGqsvKqcHgGHXk32MMSzUzCyqLum5OccxQmHRFpzk3BriTKniMl
pBE0gmzl0MQXr985luI9B3zuucp7Y+YDloxlLo2k+jntMrJG0DvNSGeDVjFXURYzde+0F6lR1xB1
hceqZAKodcAV1nieIrTkbEULk8rcAZD9jD3qmZMVrUIssuCTThPzYdeyJmkrK0NyAr2aw/xD5h4q
9Isjh0aLEocfAqHkt/VgsH8o4dHIiYxtzarbmsqw6ku2uCU1ka5Muqpk9QI0ReGPM0dYRcuOgfws
9LUwrB3r4qMtofaxBmU7JfpjpjURJjNcT5UJoVaS/Vmn9Bh5zXDyMtMZpXzbdLnB6XHcg1J5TmM1
eqFnsWHWmftWFp3UcmZe1NZrQkrpgarjdW6aGQYBzrTmPB5qq/1mxf3b3g29/F+K5m/Pw6IL4XFY
RmQLdfr1UwdsuCz4v+5MB+xZc1p6yFWfnU2JiQrr6VPYYqxkFuwp5ujb8VecQ3birmDvQkq1BaF7
givmDrN6Mkr7AYt4tG4Rxq2FkPVdbqgCZTbCQ5SZBOGWer5V2dT9QYmXSFyiB0htvSbAmqaMUd+E
OSp2AmVLdgNa0x0jt6Kq12Y+vzSl+YxAFhqxUlokzap3pjpRO0+4OzvFxxFVe40hpfSTzQdsmbsh
UD+Z1pi61cAy4GRbsxhvAyc5Wn3j1aV2g5mUJwSf1qTeGH1/SpPopo6N69zCxTF1D3aKAoK6UV6Z
NfGxUd2v6N+hMlhcfBrKU5nGkY8J8VnimfAqR3tUNOlBiQh/qrtZW0UWMrAZ/KY0litFbzYymGqn
6CEjM2SJel9P6Srb9nCwYDWATW3Z5hcfQ3erDdXZscddC2UHe9RLDQKnsMxFNcoMq/BTwltIVTla
hbkeSvKwQYp5MeYS1Ymv0kpKdySqrUrEnmZGGkxFQYM+h3MJL2MvOVdD3X1hVh+gO1icLVjWO5F6
JiFLath5ikISPLitWMMMaCthvtLDGUwXFSoakyMY1RVE1/uyRHYvxZcEBbthRBhnKh1ydvFoCDET
Zo991a6BzBXODkqforBrZsFADC8Jvk1e+UKqE4CD0iYZ7MOcYBZxwEMOSrhwnll0Z1VBLoAVcLAv
QWlvw6LDMlkfi8VJ03WZRLLvUG2nzNrr4XCovsqRF1MmnkVGouQiRhXtr5ZTQmbiCMhX9NbI6Rgu
TWNlpbAR7XM+rs1pXTLksvp7mjTMFeQTQ+AGy4N+TKKBbOEgCA5C7S2vRZDkWdgq4bTgpadu2CJZ
bP3JtLZNTxVilQhgLIy4fdAo72xt77yp2psRtho5E87PVNBFpafYnvJi9EZUNMFwkTYnaOHfFA9/
uzZw8H/dR140Y6AQfqwMi+H89cqgRlHB6YKVoSw/k2rUj/AVj0X4wEDwz3vS0lv/rystkaJEpGK3
gvfz65WGlmQhorZHEpMm9McxObdIPRaMSLmLSolnbuwPVQWxu0THdrJrdNhmUuL7SPAAAY/jm1Gk
L1jGrsZCs10G8x+kuLwoZesmo3zj1ON1rXozhkTpFh14xC5+KhL9Xoqy6joUab8yiDLY5IY4GIns
UlisJrglHiXepug0695RnZuKmGo6KXuhQdPQ1MMcTjujci6GNDw0bNsWsc2pWvAywbeLbG+slPu8
alZxFuxg5DAVHW23M/LnWZ4MLxvCxxqVOLm7QQfDRQvfuau/9lu+LeyvbyqYpNdfHxqeAtCQPZ7t
8SmaP072O+mZ7/3+NxuHLGXUyGE6EXNzQ5aZW2t37zwWf34qzDfPX27mqZyq4XQ21EtsTi63SY6m
b6O0v33Il7vwUxfy/S4hmqQkVRaVyq93abTaAZQqf4Wjemr30g05NcldPFrvfBtfw0R/Xuhr+0uz
wEnxQjmUpsqbC01JjPpprtQzZcwLm5p/m60DHzaIG3v3buHe70hCPn68BgT6YVw9E636kTe63Wq7
P99Vdemz/fwg/73hvykAnT52KidkGenWvS97uMBvxCa/itbOagk7WCsb7vNa8QiAc6OVw6B9pZ+L
lz9/CuN3n+L107ksPq9GRpC9Mxsp6HR+GHfqCtHc2rm0XEZWbuRv7g3vaPr5xjlH63Fb3Bjb28An
+WfLuufOmxJOkk/rzHd86Si2xaa9iGjcu6H/oXTFWfamjbFzdnCst81dvr7580d/O+36ui6+/uhv
bqCktnFWSTHPpVu61br9XK2rW8UHguMHfuTHq2Kd78vN5ctxJXaGx4E92TNO3ydnfMZesCIz4lPg
ffjzp1J/bX5+f5B/rKFvMwdixsyNZfKpop3jRt68zTfBbcFohRm7i9vbbTwkLhv7XG/VJxppqz9f
f3l83z5Vpv7zPXqz2rDUSFNbTeNZnsuVNQyHWUrPvZD/I8P72/d1WVX+dJ03q44Nxqjv52w6U1O7
/fAij9sBJypcD7mjFbX+81/1+zXux1/19jAp5Sz+Rp2IM8BETn7XVXj1/3eBN2c+bbSxzuQcoFLj
oCb0AZ33psHvfDHW8iK+etGkvLILCwH0uazOLTTzSiUlyX6nVHjvPr1Z3FolAxFtJd15XL6VOYM+
8s9ziOH5/XzArDcPmIDFIFBYTOehH+HznslU85gB//nreOfpst6sSmYQShPNOXaDkVwEByVs1l1o
mvAshLUJlOI+/A8w9m8f6N9+P8ZX6STUGWcZv7z+fmzN0oIq7sRZz780yTrVIpp8mz//Wb/9el5d
481Lk8HLlepIH8/EVtG/v8rzd7oK713gzZI4p/moJWXdn2UWbZrRqZa984R93R//9OK/eY6jmKFP
kPEcczZwSenckwlw4ojg7RsvWoUXws0Pf75rizfij2vN8le/enUU+n9Kp0bsUQ80hgtW1VPItd3h
WTnOu969JIyI/3CNVe4hub6S3Otutezql4/1pbbn1A5iYjV17rbwos17H++3G/mrN8J8++TEzSAr
AS+dcrFs5JILvFXfFYrnphvdvy/cPYkOhy/yRw5nzd10QEz1zuqlLsvTn76UN997L7VmVDsTtYTf
+7MPaF0F937I/GvnbB7x0PuP6jpwCzq2a5SQG9uT3lmh3/sI1ptTkTQKSS+GqjsTPOaOBGm4ySdj
TQjQQXwet9UqP1obaSN9CR81b9ykFwSRfX7nOfn91vtzl3jznKS9luttwaOJjXtNdrkbL1XdLvVu
+9242yEddOczsaf38rr083W1sS7xw/liFe0IKHzKvHc+z1IY/9e38vN1N97cEltymA0VLCn1St+Y
GxPkw3pez8f4oLgveEbWqWfvqi1NvePoWXcrQjj4irpNur6J/aVI+E9x8C/wTWcV+tHi9Z8Z1H+L
PT8DP/nf/7mJntvu+Tcze37q+8wezq22RBThHzdkx1qyV3+I1TRS0jFpgziR2fiWztx34JvyF5QT
DF2LtQvV2jLp/8/MHhYcPk8a+l9n+f9UN298bSr8fJY4tuiEwS0WMVzxqOOcNwWKuly8yuqMuHIL
PqdOT07Rhw+YvYlurqWLKkI+1TJCTjN1pLNOXvAEcMiGwOz3o03PPD7RZbhFB5N5BEzaC/GoctsQ
15Otbe1MQKcMwOQrW1JnVjkx4u7ADJwj+GNrdIDJBto5TG3bsX6OrOQ0deKzlUSrASV2JzGInJQK
y5D+AjFmE04OsTttCaszzsU2qZpt4ziHNglXpLWuZ5VMZPq0rmL0R1Mt7yz0cINKi39q9HgTzepz
1sDtleUHJO7G2goC4VWM8zcN3WrPQY0PeandI9vv13ZQkYMobR0tWaVRckO2awXFQ6OLXI2EMi1E
MLtaD+YSJMmHO2gWXoHZHhiPFkrh4g26cLTsE3yzajOpdFnjMCVAdApum6zEIiNGXy4GieZrckrJ
kfDjUE3Bg1UZYQ+W4VljOdG9s1fQy/aR0RFYMmR3ndFI+7wufBKKriLymN3CdvYKg0aXLu/JKdTb
OhIbmKJXiOCklZhx60/kUcizDWkMIJKkFldjxFxZt53HJFGuKezx9AQ0XQFa5d5kardzHj+SmOIP
GV4o3LQYluP4qOMVTmr5C2mv5hYpAH7aWEwrcHa0zwPtSnTRfZTw+UMis/FWlLNnVvqWWCgi4AtN
xzmNzSJJ8Qdk/hASLR4zUpw6xcS5x3XksaUKdwrcgNEDmJrrsSGZvbQrZoea2IQhVXpddER7MGnw
BzhPTBE6xyfFR9/kpbgoS/veUAK+95a0bWWsGWNXj4qIj10SH5vYiXcSKgsS95gY6Co9bqedVA8c
DAGYXbUJtJIUCOdIk9jaMcBF69DGZzkpH+ukjtd1Rp9bxI0/wkk1Bz4obULO+1m/rRX5UlVJNjEG
4M1KcGhCsWuL6k5I/aZsC5y35RpMAtGgeQyep+0dMJxD45oZM01b7h/mOv7c9rhNknEzxNUE2I0E
psJchoL8VZN1WaJP9FKnv7HTbN3J+5pdpz8FUryeZAdRQnGhGMWl2jPxNeYLSZiYMCZs9ovtUoiG
QU40++rM+NTEG8gDSgaJKYFurNEJlgW/lHZg5TEcz2kFo1TL5f5LlI6pP+YaA+ZFLqal7ccRlfVQ
2pgxRsE4soY/TVziRimMXaSga5ixjzc4i7XYtQsHiYM0YvUcNRJPrIgoJclGjQirISQlbF8GaYKA
Xv8kjI7RC3FSpdY/1LN4AQOR0OBmBhNqw+UkkiUWw0Se3pkdhbvao8URhdoc1DDrDqw9C6yxwoQy
1jgWirzbGQUKu7UmmPLfESFv25sImtJG6FgX6DMX0NOssZlB2ISjsrILSYcs1CNv2mJdmhBraNB4
zhjeJ3HjyLnS3QxOI2kHMQqaDwZYhQc4kWp/kXbVtgwxTlYJ0sZST/V1HBuhW8OGU5rwuoVt4XXp
uNf1QqwbqcEyIpkHwxoBXYBJZ/JtvtRl2aKUNDF/J/pDKsGdjHryWBR5NvdaycOcFnaKtH0JdjTK
pyrQn6FNqH5nI9thCv8F5wYTfdgTIOYG1ZXlnmFJh65pSsfTVLX+GDscQSrppBfNlRSIQ26XT308
4NxH+jIiq28VIn7Cysi8Vhv3ER1QeSDQ3aqe45SUxoVH0qmg4zRS+WjRo/VQk3PQOkcpmR6zSP0y
KzK/JTS+pH2Obj/2pXmvTiMUXaMBW9hcp6AzXTmCrT36IwyCyDrJxMH4zlg+00HbRfjgSffmgFbj
VCdTLD+b1kLvNhxcvJJ0pbJj+oNlzChUxYlmK3JecmW4C9XWKmo0pqXcbTS9Z20HKMXMwSK9GqdW
EUi3XerPRnivNjA8bPQOWLGYV9upM3BxTA4LBlmbGUrOIMF8DdsVQwQ0uPlYDSt4UMfK7pgm29hO
QsW6iIfiJDILoFYVXDhFjJyqxdfYPZvOQJRZn95MuIZxX+JsDhw2EFAJd4GAeykGsveycp9IKZ9R
zA8M+FGkCRIB0w5CkCGrJPCV3efWce5YoNcyAWhpHnVEh2lbTmN3dQ9PIrZGDzXNDi/0ZY9ZyDHK
jzEbHUoQ+azL3YFRdOCBKg9wvSkNmcnNLpR6toRuCF3VwAgSpenOMSba6mHhJbZab1ojHrxYb1FA
iUsqkXWhdh/6HH9MSma6LlCrTEIfV6lMNCvAthpJW0AZTuKUZ2Hz9c0UIYYkKRsTufau44Z6Lao6
uSJzyLa6vSiwUdemswfffYdiTV4hXjqlLFlrKZ7DjTQohwxUmEeUGC4q3rRDqKhQxEigk1pmhl0h
57tZBWnI8AasolYHRP5pjKHiy0gkaOJLREkFgmMWORY4Y9jOucorYdiXasNsx1Ywspjl+FKU4T09
IGBX1gsT3ZfRlNdVC/Y0DR/ARJl+p8W7IK8e5NLeanpzM6BIZjboaeqUenIWHdRmeA7zbCMs9bOT
zvtQxFeEKGOD6eSbQl8WcUIUWeujbweBf8vuhdP3h7I7/tz8VirLT/0ou5fkCYXKe4EpffOd/ii7
YRKSFfpVPaKr4Jt+lN2a85e1FMO2hjlvCaLhF36XyhJK4Sj4OhbZiaqrivNPpLK/AQ+ikmUQBscQ
4a3qvJ31zVqUR2oZyxcaQYqo5+dkZSpPZfiJBJjZwI3WkJIeL3Hp8eCQt1Tx7w3xBsSoXQjieZHH
XWdkrVOJeYBjx02bRg9FY2zItbnWCvtULTHtrfWomDrCPPLbZ3LcO8NqqWhQkqshwZRjcZuA6XSF
I2deXSudL8fVIzksrLXqwQDySTjA87wEnpEgr+pS7eVkykdGsaL/Z3kp0X8tbhc3IX9eCa3tsATS
M/JerBCPsGfuZhLrHZLrkSHn4M7ULxKrXt2IDyjIkDSSdt840nq25kvytSwkj9WGfFHhUVqhRYCc
rwXseFYw7DpcjtTB5EcA8bVqad20PREDuf2hHjiYLEydHRmbijsE+iGRMwh1g7QFVo8mjjHZVkjT
ptSZRZCaOVTm9VCJ66nLm7vMmJ6zCqKBCeEtjOR7OTcOtlzmXiWPpzCtDMyPaHKNpNh2PeC5UYgD
aWo706HxXgfGflI+tbBcw0DcTbYxoGkBPco5AAUtKo+s1k6ZpX/WLIwGjqHcmYQmIBzWCX1EsN+1
YeiSQ2ICqJi2STttUAusqj4+ipZ7FoaZDjMqTNCcpEnXN+du7AjTDqyk3HRGbIyHroxROeiV3O1K
2w5XneVMqN06AsjqUm6o276So9uvFOmsr4dd0hlqxxotw5kevzKnc7VEC5TpkR9G2B0qnZAJUQM0
AFldLOxqaaFYayRXuOpCttYG2R9AXSNx1T0nrb8s3BBK98Rnojzji8MzFxroz2ayVi3NOkuRanud
WvE7ZGpNKXrIRv2xsCFu92N/gwMUovVC49Zr41MCnpuS4fPcYTfoAXeHJjBuIn1PzJAhRrXqoVko
38Q7aCvd6IkxWQjgTrrVo+bRTo1uDa4pWxngwqdORR+im8lCf/2Em2ThqQ0jTw7nhmIhjssLezwL
pXP4mPV+AZS8wE+qwyk34JWrRQiRez6YRbFJyuqq1zibUhPfVTpSBhPmeUYBbRFEizrcvA+AqW0M
/sVGPRHO9VUMN33SpfY4tI+FYeB+nqTyIFnWHPv8qtGVrdSXsPzAPKAklyL0ks0IV2jgG0+i+hrg
ZrhLI1IazeKMBXM/FtUXgrSAIuEKldfY2JuXr8vpv/uKTnP+T/tKm8ZTKX7T0OHnfuwsBBcRo4MQ
AEI+RkO6Nj92Fo14Ige+9Lfd41XktI5lUUa7JNMHwIfx1Z/xs6HjOOwnNgnRhMksYIV/YMKAhPtL
c3Bp6MAOYgtb/BwmH+VNQwdpLRLAxiwvx0amcOv1Aey2TodSH7ZIoRnfTKBfhTyw98ABPshZTrPC
jK10BwO3fIjzoD2BIhrdVtPqm4SCdIvnoj0PaVB9qrpFCp+xPEWZNUGUUSZie3BnAfahuXDZNnl3
USfo5STZxKuA5JT4+EDJCLwOinMaVs4nW4qupzEzLkJFkfZqGA2b2Tbzu86eDF5BeDqDaohT10YW
sISirF1LSOlaMUDPIsvD+qW16mf00dmDIWfFNjSgDRRV0D73IIhXYNPildU4hDAmhK6JqK+uBqAn
GSC0NdL2yu8Bp4FXkwq9fykxAOsHpQjmCTVvmQqk3Z2QPuuhk0RnoF6iZpFvi+bCimhDWKEyRjdR
4nB6GARi35ni1hrONiB6k6gdHagP6PTBtsiB7NFN+wan0/hgSgTrurHIpo9Jr9aACcEUom8fH80h
054nyTJKRGRmsQ4jky1FYMbvhnJ+1gxj0eepsYwyin0lDiHWB1UffuRJij25mOfnoI3mz2Y8PjRS
vS7CeC9ZcHVyhbPyYEBEk6oBubKtiGmTolemlO6mY1qOuN/Ro8JAykv4i/EQxgj7OuIT6z6nYZPW
97oVgz1ylDuNwn9bSQTDRvLQuwYsAIILWvPGRoW566TOuYMpaZ5Hp5Z9dhMSxNXOKG+DVs7pamTO
R8kapL2WdZZbjfkF0WyS33Q9dnAJxtJqyOq688cgBvEgle1uqoKCoAUbFgKn36eQetqfHSu5G2kX
HK1ET06MvJJHfBalN8yA/tp0Lh9nMUoHHl5s6xZJfNhGgwd7zoe7gojNlShHbKDxWF1GPXkvBZLm
zC90HVVe2+rgL0hi6GhEGq0fAuWwvBCKAylzlPUIg0kO2FvjoF1BvrIhj5em8rkqq3ldL+Y7hzOD
i0Xd+DYX+3ct1umE/2EtLrPn4jc+8OWnXq3Ei9JcwQz9nS3zYyVW/6KOYLaq40Ojq80E5Tswzf5r
OQ5weqayRoq9wGq+1/j2X6SuWMu5AUXZ4rL7RyuxvQzHfmmtW9DF0bvBv2EZtmQ++uvxom7nhEIL
dbqwu7C5tBL6mTBQrYcy09X9NKTpIyG61truevkEkipgsN5HQKz6+YPlDN1NJJfZhiQpVg+S41aW
1DVwPIjctWv5nGWRc+oX7LCxAIi1sePne+zyPqjkRYcLUUqiMTyqgFjbDvMBsucU+oNMHVMMgU92
9+A2AM2f8igK93iQZ1xAXeKDZ4JMCuiNpvn0wVFrL1pWqCC39mLBKnelNByKBbXclAMKxQW/PGby
BaZ01DlxmnqOWZNaAa0ZEBiqVEfr0Bol89I3SZLP1aQM+lVX5D5xUuFCdHmMxjAA6dLDraz2SUm3
YEyKdKfODjFrnKQuQyV8kNNpHwutWetVcWWALFzFcidtOjOcyV0S2j6KZGuVadlBQdu8w4Dt+DLJ
3cTGFvqqV9UACThnBvpyWNfyCnd32V/NTVLAZG+JepII/JIMY5Wk4DmIKj8nGktvP3F3JMGeFQ+V
5kMUVy5a/Hz+ZA3Vro7aPWSdJ45doK0z+CTYxJMVQnaCTuq584KeL4x2RuNnEgHLgalsE11yJ6kJ
wVb2m7xLgwV3UT33ZZicxk7/DJEHGIccluDcQG8NDFawnN+YmnVFvKCGWHLcqH32QaX+dY66Q0Ya
IL6LvlYuS9X+IIetRVs83lUSIeiswq5Vo/qHcUKJmXIY7PWQ2D0avVaRH1pN+WwYpUAjP9z0sPkg
+JGFmMpk1Oe5fGGFzrbIy02vGcdkdE7VIG8iBf/3nIXEygTmJVX/eg7ji3yOyWDuiAnU8TfMxnQy
aLNWqXTHeZv9f9TB5Ar+RwRPudp81AaFvlFkv4wWzkxjuqsd9jdY3cwtqxb9b4E/7lynBnnhqmaK
F53YYI+6DAhuUI5Hwpwr3goSUo4KsaMClTfttMoJNN8i5eMYmmq8+7cw/mpRNqgS/34xvhXZc8PQ
/Nvsc/fpf/9H+fFT3xdj8n0dGwi2xmKngE9gxf2+GGNbptEhI4v8CtZ+VRZr5l8W80eWXEP+PgL9
vhgbfy3rNvU1lA+0m7ryTxZj1f51hk/hDdVbocBmbK4rtiNT0b9ejMOglmueY3EmUhE7SSye2OGR
4qQUJHKf+VOTLZMjoLJlcIobeNmGMpD3UvSX2H93FvhLt6WWcx20/60UH+gyniaLNbSELSHL6aee
bjsomR7hv4RDPhjUE7k0yLdlM/TyduFmyvcDxYza6g9kuJNwEDn6OljwOY40rzNdklb/x9557baR
dVn4VfoFSqgcbgYYRlE5WrJvCpREV85VrPD08x2FtmzRRveUgOEAP/ui0U3xkDw8Ye+1114LA3BS
bGR9MHNBIScPvxh2+i3vs9utH6CqWOMN7prmlxKX2xThzdqR7ty0P/ZNi3A+ON1G/gmAwLcqs5NJ
4FgXlDAwlfTsecIXo9k/MJdk8HBXsq94hdNeEWpUamugzCJuD/Hzue1VOM0YFy90HbkBNcTXT2+D
GPTFfip8pIegtJ1UdXzTpgNEA3SUjci+ygLnqaicCxAJRPWpERMMh/XcbYmN8y2Hd/ro1tlXt1DP
qyx9JMVCZCAqvXmTttZhZSUXpAaHwktMD71vsUrTZx7btJHgMApgkz22igNAjH5w0pd0vak0DfeI
9i6CgmYP8qqTuuJY110Y7Bw2QV4uekQ35LI98hzn0FONK+SC8VwKN1ZS3miBR7FvuE+8AT0jEcDz
Izkyxj5ti6y6KocF1gCFeWlCxPed7nscOtnM5UTNZFeeNmWIiYSs3umecaXXSKzbQXSje+r3RjW3
qz4QL6d/caFrzX0iNYdV5oMWGOaiqWlhxXIwXJLvf0XbJFqoeYM0oyEjiGSBwymc2DJXBHb2C9mi
IYp4dlnUPv3hEb2yTc6vhi8I3aCGibgUddNisBcm8u5Lt8qPAzcpjkSLHN3wdMga7XBl0YPUpsai
KfQCEzcXEC1CZEmuO7KCoaJFo2HFGQToU3tgEfcVv2Gi5t68LYfrzCt519ReeO524crN9WBrR0FL
KdtSMTOqCtebeTF6odsmeqyz7t5Gp39imfmDrGTYHmXutGy7DsgrQOSkRJNV8g9l3EBnkoV4hixn
9OLIS0XG1RqLLecQB5QeeWp7k4TFCbWX7YSyQT6nEXhlen2P7S1ysF7S4QVqIGBSUnSpKRKaWv1Q
NZjNy6Vi0sKXDxdJZ6rHehrR4UVQ6K1i1fG1WRS1d6pN8+u8lCo/+MI0uPW5WltohJiBoS1MN5HT
G4sunWym1/mgIT8eiw4pO7EuJNcPuPSKwL/Qis77SoflvIpZQhPd192znGbXsDabqQ3IJBseObfj
XfuFLGHJYnSXcixhelcEOG5Y3KmTBrexWWejpr5CaMxFryXo6mBK7Bpj39hrU6WNL7PM7IqlHGrq
fdTKMs6ZNOZzzsQ+mrCm9Sh7iJtPI7MvAd+QRXWEXaVuFPMgUC3vRq6tuPqquluPcpc2qD7RRWK6
3yIj8PVTGdVzaRI7XZP/pz7xcvHphPq/vy6vm7relB+vS/Gqt+sSWpBQ6VA1QxO2EaLL9e265CmH
8jJkWNFNq9rvchfhjC2gIjppX4Wq3uUuJCymLKN9qaAgbanjrkucsfFDQsRdRxYLIa1frsutSsWv
kJz+HKyrWtALks4rXa4imJ/oWYKPh50BTGBIElIwaX7ats01wPnSsCM65Evk2wJfNk66lKr1NlSR
UKj0I65neRr3WrVQlRoCIe2kh1gf5ZeqjnoA8gg0l6HLj/tYdu/gGD2VDPkxLSh3K/5wmQQIQbht
FqM+sKWN0rPOBzveTtNsKyrWVjQNspZShU2I3CDPi+eXehlpUrzaJoj1JGhRyaVvHEoWhxFF0Wql
gC7ZqGymxjTIoyvihk0bFdfoueGJgTpfKZvSKqQUzRUSx9OhdvJzueECV9Urp2AUV4lOkShroZIg
R9il8cxtnVNZZ2o0ZNk7b3spR8OXpMlvqYIcc7t9QyVoGeYJH3Zo1Slinie6IfC41jgdcvtpcFAO
wLaxmNrq9ri3smyKDlUxlRr4hT4uGw4qixEAGBBMRhiMqZRUnKZqfh8GKGVbWu5OAz8p563RPwyB
ekbxg/+gMBz4XgzWrRX2RaXZVEMwzENI0ReW30A60wKRJ1sp52We0T7fLWQANJX6caM4SI4Mm8EG
VjOs7XHaGXjllpYNaNIjsdoQkuDZkOCNR6+e46Ep0qr6XY6FQiOByxd6Pt92KtKH/calwRHhlnqq
ut6679PvjeVlMysy0lmtD6iKy3V8asfqhVv2eJLToI2rbQ7NaVjbBa6jCoww0tHMnJY6TtKQY1Zb
StNhmF02ciKT4JDW2TEJSbEwsAmc+lq6bBTzsmu9O0ymnUmdVDhx1/FsK1G7tilUT+wK0TJ67euZ
1Q/yoRWnwTxL6FTJROdWUDhfcje8iBKvmGJpcey2NrWSgk4z6i9r0mgPK/BsbXXQFqpOCogO3eGQ
YIfCTR3RZezpyIupjTzBRjyHOuTRS1l715bLbY8nqHqoJslpTUozbVIkaZGVkNDYtuDa6PpxLLWX
puJ/TaGRT9IuseeYQZ0kpnpo2jZKtJ5z3qVVRXapwhjzlZXsgUahAlBz9aPQSFPaedZJK5gEyCq2
0WMTNndhouFZiaiMDgeN5s8NhxTCrl4ipBrPtojZzEMbgXVwz+2J01cXWq49haLgUeX+oQaI2YbO
Waem10Eah9PEGHDsruVJJRnewjbCcJELLkXtoqOSFYhv+fEkDKNNOCBQ06vucmhA19CoMieVTurt
eAF+5R6mFF4Qz6U8ukvb7E4p/X5ibvV1KYffUhN9CDxwMJDMcF4MMu20yewvYSkdI8pxZDuJTAXN
mJs+TuK4f0J2atBnV2jLc6SvddGDBmcnWYmnc0tP2MT3rPt6AJ6IPM053OaWM6sSBzNZhO3pi3b0
czXKbGlWCD+u/2SRL/kgV9Xvr8WbMiDw6z/eiwYv+/teBLjjGkMhQRa1+Z/8kbUD8/19+YMrixyi
Y6GqgF+gMAX8Aeg5B/x/Wba5TWl+l6nV/IvSivUs3fgToKeT2pI7qg7/4qPwTu9zSHhgnVkUVXKR
KmgynVZqQ6G+bwIuPjTVWtWB0gQGh0V3/giE/m3IBn/ZSem1TtA40ayHHrOSed54h6WbLIo8SJH2
ARppdOtMrhVO+RDJX5A7/GEzB4Edr/fJDkxU63LvTJLcaIq4bT0N3ey86usnScA5htM+6bmUzX1w
ksYBtsns4LjThdKAE55KeXFRypkxy4j80FI1tzNsX2N4pSU6tHU2KZvyYUtlhJShX8qq/SB1ysJv
a2Vidd6hZdVnpHlQz9ATmRhF+7W1pdu47uNpGCnXmlHfezAwlo4t2UtF08xzjxLbHKJojXBDVM5p
+F1T7MzgFG05aoEqiUnPM8GKgaWEUhA8GR/CTKfKR4lsbPQ6WWoQaio9ONYFw6YkxOig3BD+89fO
YSKX9w3oVtZBUEwFSQeyjhMCJ2UztMEfoUs9lmp1Xg7BnQG/JwKHnamaDOXHMC/waMQlGDZQ4gf4
59YSzFKp8RZ9FFxjaHrW5NLZ8Ewmkkm3e0EwMgo7WYX0tk8MQT+icn8hGS069sIv2ZBwbIA8eBz6
EKZDQWAqPCxmikae23CbzIoKV1uUMOjqIzuDzSc7yXmO7AWcvMJelXmqLqFiLW1BmyoD1JfyPraX
keWXs1DQq8yt280NQblCgBN6Va/inNN+cWFlxbCzTLlBaTRFQVxyimUJL7VDo40ED/gUoHPSCZqX
3g6cpDC/MN9D/EqV3CWBqTttsa6S4Yn5gjDW1eVDiM0h6sIXLYwyL4RaZqrhUodrltT6oaOg/RUN
5m1Ndisn3hdMGDZA8xJEEBXCmqCubQWJDefG+zTE4MhTOYyt/E4ShLe4am8lQYHjpRhTCFqcJvhx
EiIPmmrmE0XJvicVuoVBlp/qvXMe6cAIdd+BG0O8azB2mneCi2choMJeKW08JwJ8rqDs4WAE4RcT
wHXtYu0nV7k70wTHT4vCuwaFjji41Wo0TGzBBmSvIdEGP9CurXqZVsC2OHHnh52iulMNw6geWQE9
ldDZDHG5HSAd4l6BLlFaDDMLQmKQEtJCuzGnwTNbEdqiC30x6qh+sdaude1I6r9HMvCPBOUxs6q5
JjiQvm/Nbby+iOK/y4IomVv693KQvzowKOU2Psv7/loV1EpkHv252UMQ6JPiym+qdaxjph30Kzsb
jvTGQQFKEVTNDg1wu9KJvvrvalV+86TmuM3qS1pYT+st8AIyZ7MB/qfm0FinCEooamzqJGwiGeYP
hNGyrr/nUpJAE2qFnYu1DoryG8AdF3oGXV8V1NOutc2jGuNfUDDJnsYwVDl1CwzaSwQUYK/WdDSg
YoJeBgfycSUorl4FAuIP26Na0F9VeLCm361DQYzNBUW2LqqY8AjabKXTsZogjemjl1T73XVtYAFO
EWAed5hWIHuOy1RqlGy6jC1hm6dxGUAO7tyzLNZES75Lp4vkXeO2fp7lzrXj6oda1+MnDwFZIMNX
bo4lh6cUC6+243uEn7FvbRGAxRxW6HGwsY3wzgJEIORoowXHKrr5qv/QpRR2gVkWmGMecaBf9XoG
3VtOuhkXwCWldZWSgjHb0s2x9GX4ottK0yeGSfHTTo9819SnURFjDbC9DAydAgFkXRcBGLQkSmUO
WsVrt9trwwztwyFtHqosBBDEp3NCEubjpVkAHQzSd0enTl/7ZbCk2HyJ9eaDqbG3i9iyib9taYoO
K1Ic+HieyYVDS1hW3INYCGIs3Nek76DQqKgM+sjEzDLObCNPZaTk5HoB0PHQOMEduLs+bd100VOx
mij85IRCRNGthtJN3aHTCpWBOd0G5opGCIJ9HZMX5NnZNAYVFH176/fRZcudOK1DqiiBAeETmSIP
NbSe5WZDdmlCQQIVFIJcGlCHp5TbS8jx4h/QTj25pUEhMm+NmqaMtH8yMuMCw8BNpzAcgsf3WIME
k5ZK98Rs0hNFMwvcEodT7n+EOawUbSBlVcd5OdV7tZlHgtKAfmm8qobiVlPZ+DhI30lo1NdB/dQW
8cJxw1sue/k4MOH7c/+vqsA7t4LiBpeuQ00iWMToq0NDLmvgdrWHrgH0lfYoCgpyRYsw60y1rMeg
yyTE6TIP6Rmqwn1mXylgcXNDiKek6CbO8xw5vW3cuCu57NcmfW38nlt1EUX2TZfS22C70lHgeesS
KSMvgmzVhTk+ABmvt/KLLEKdlcq6N0dM7zHHyw40MfiqywFQUGFekJp+yXQTdkDcHQ6e9j2UW4sz
Fh8zVUW8yO5Q7jGtmMDcJJOXs57lF5IoKEGPvMOgfDWr7ZmjR8Ec9WFyAYlT2+9J4UILiwpTCtdy
qp6i2u5P68ANp8UWuFFU0pGHX/YDUv6NJiJvOToMvZouXhulSlkQsArVTaeZqMHT2PTkeyjmFLZX
LraKJk+zZLudZTJi8RF8714y7xIbvoLnucY0KaQbv2xv6fLBXiZwplkbw4xDKc9rSH880ouZqvvX
tYmhgRvXq8ZrEAeUnVuI9hdejIGjVtXtPMkljAZgI0/R9Fx0nhTP1ChdSURObMhQnrZq9ZB7CVQy
7nNmiysEHV4TjRDRl9HC3ZNy87spSzcSNjkzK7HwKnKi75ZwGcIG63Hbl8cON/mkt4zHamstCxtx
/dRTjtxUS3F82+rTzozuvCRBDL8r1andoFkjJeCqD7LtnRAY4DOPv/BEacKjXJh+IPAWnqkBPm5F
yXN29NWTjBx/ifBGKeE25410ZSWOiYVettKd9q4j5sJXZMC8Kc/SeVGjBNgjVjdJooKvg2k1tJVS
n2eZfmzj72PbPbRKqwAZaNvvFLFh5rd4IdGotMAP+j7fsnX9UrmMvZRkutdONTOoheFfOUFo7Jp+
AAQQQKQILzvO6TI97fQSXX1TP1Ls+jFM6KvGN/Cu6EgBEVy8HWJUw/r4BjZpMmvRk8ws+YGOfxZ/
mwK01piCZHFzklflIpURVJH7CicUNEhZteHGITb2tyaiqF26GZLyaHBQafTKYaWq6X2A1QhapLf5
Fj5nRZRnRRx9fsHK9J3WWmZI8c2KxlrKXfnd9AnprKz7qiXEfNtQmQZxeI9+0Ao5oBnuAGu4pw9h
3ZzrenGEJaYyA3Re4JXBTamRxxbWVecr886g3OkW2XVXOYcwJ+HSkzbK4QUCUdM+UKDaa1AG3XiO
WcUJet4rbMansSFvcRIIlX5aeJYaXcbpYN73uIqg4CDhAnsZG3W+nfW2ieNTLr2Iu/yHViK0hX6f
g36lo2JHAspr/k5A8TKCqmeToVAmpDniHTBLbooLMM2aEE4EPPqeVAK5T4ccrtiaAgWPVu23OiYO
SBxicFFsrg5V8AX/RQ4KWYAc86ccFCcjUyeRgpyEtd+v/ZroqIdprIYIldZUJHMMsi23vKnVxJ+G
KtWxQUmzm2CrxBQ0kuS6Eh7biPc1h83gKlOlQUUFMkk9KXTtDPoMqqhxQn+QFW60Ab5YLTy80UF7
cJoW/23h703w0l04npdPkwT5MadxsxsdQ/BSpgRRYxG+DXz6Y7wCVrPwD4cIDuaGDuLc2+IuXinK
bSL8xuOYFr7Q0ZZ45aw0LMm9Am/yTsel3BR+5bFwLqcsiEaxSWiB8yuulcFtIXzOfeF4XgvvcylC
FUthCs4RDHAXnVw7hzROQSZsaU2vnyEcAebgbcluTAf0y0B6MqTOoUGGtGI0yUkDGhSBCrUCHqrB
iRwBGBkgR3Kj48zryXMVTCkCW8L56AuzeZoJ0EkW8FMmgKg08r8ZIFOdSXQJjH3nFdGdaFOZ4/0C
sQQ8qxbAliYgLi1VrKnpYT0v4C/JBG4TgFiXmkcmovyTmqhv4gjUrBb4me+2Mqrtw1d+6BAuTX6d
Se6ZDuhmw7fX3BhVYOA4F1iOBsXtCW1tGAnUCGUVgHe02mC96A5nRsZPWufdDG9ZwEvtQdXKuwEA
UHLRycx8/ygCGjQFRmgJtFARuKHUqis0JVGvwuKeDk3nnKgWtDbRDxFFPskE/pgJJNIAksy94VIH
ogwFVikJ1HIr8EvWB3mjXUT2udYDOD/Iqmn0K4v67By/m2Oo5ANgMW1xs9ggefAtYyNV5CmNSCCk
fvFMkEfGz4DuHR9t0dSfWNj0cMkpJ5plYHkkuuJcWYGtbtjBsjciKFHIyGHnp16VWGhPt3ZJUuBF
j4UKnaT3gx5zob6ZZ6GzoFZPTTUamOSgclfI2qA2YUToybHBp+hcHmK5fBWnacfK1led7VRwIRP5
JvXRDnV1fDaylFZoA/FVJE0AF1yCBF1OwYDcTU9+HoAyrCLDuClr95uKGPcUx46pZTlngNbxqtUN
kzscQNiKzZVkl/q5VXMP47JRT3MlMBe0vV5vI4H918aJDO9o6mCHOJUl46iExnqk9NlxocfKqsgC
fqUaXSftvlLcc6n1FrAhuwUVe9q3ywAyVlIuqx6gCDBpZhfxgx8bCzvL2epsk1zwlsCfv+UQmTrB
aIoky57FguXkC76TK5hPYVDAitdpxWhs92xbEKOEDkh+7+DIk4pizDZJ8QDqLnuFcBl7D0rx/YCG
tWBdyUWtA4Zk+rL3XDhZgp2VF+kxzRbIXgvmFv3Dw1ERKtJSF7yujJKQKTnlYoDyhTvEPdmpdqGG
KEdy+tE9HACf+FDFJLgJnuCOmZDICiv0vlfQyhyfbXxpQTVDPg7SGTxPsO//YLgvGO4faZlfm4f1
jvvzZ1Im16cOJ0HIAVO+fHd/KgcmsrcIBGuIDooS5d+kTIdnuGwBa1X+BBL9+/uTi5hGLp5SdFuH
PfQv7k/MBz/cn7SbQCeCdYR8HeTRnzHcuMbErMs6+bymyEirubE0qREeq8iVk/spOcxCqpJNirdY
FyG1nuG7iragflRmBu3eop7J6jNOSlHjZEdQ7WzN5ZbyZ2x3+Wk5SNN8K+sAu48KViczNWmhQeIX
N5jtynHtRWDl8gwbjmVT4Q2SOn0ytVr9tk3LQz3w05vC87CSy/NHE83MjMphqeiiwEYztekVj3Hv
RLOsInUs2vawy7sOcCDz00tZA4ANdcBJjRqV2TrzupXdadJKqNApQm83LuDq1Wur8R7dxG4X3Kny
3OvzYkWXdkKzkHRVYwR/4WClMElMn94lDUKM21vWzA2AMTyJMD11+wtI7hQKHe2pCsxL3yjO7Dog
JPej+0DVburMyWdSqG7yyOjm7uDdlhA2AnZ9Q7f5hGDg0C2cJ87hlA4XH6Fw5BRkCN2m+jVJveNw
cG6UkEZuYxD4tCrf5FaoTgZ+hNqndhi7JJNqbaz7psKywaruoeLjEYAmKI2etKbr8oUd6wqOA8Fl
4JA0Swkax0d9j/I/Tl7fZbpoZLppuE+Pt6K9Rgurq8akhacjKp8MJRmaRTdOaMYQsfJ4ZoGfCSOd
BrEFR7VAc+u4inC1xS8+SCv73FHzfhljYjTZmuEKFx8HJaFyoxaUpp3B8i4lgbYNgfHowK48K3r1
ewzl0aTND66nH6rOWezDCKUtlhp3hHZxbaDllcLzOPIwaKSiC24a2+ctmP3UNB2Avx60NNI1Orah
c5XqGVx03GK0oZzUgQ5602QpOhhor3ZknoAA38zc/xJFUTMtG1SQVT/FzNJn3jwmN07DDBgR5jHN
ZIqbPSQYzDYQpY+AQS8VO/+u+yiU+92yKTp7mkZmOZWxnlyZcbHKzeSoqw0kZLXzXonOIT11U0eY
D8lZeCe37q2R4AxfRw4ODZJ1W9YeMvOKeuLmKjGHDXRbFImwdJOvkr4+krm8iii8CgJvbjbxVxwb
HiA5Z7jooDrSA1LYZdTMSlpqJ5mcgv0wuYYuHW1jDUEcmeJK4/QRybd1gs/wo60O2qyq+7tcU+l/
UdDzqyD1ZPWAyjuK6pE7yLRIy2dt3D74onpuijp6agYF7L78XoPg4BAJm5TcQ1F7R6nqsZbbhVUK
gFfU5+GwZrB0GyTaqd33ooqf9sZTTVm/LehPTCj0Fy5JfyBq/7h2IHhdfbMhBRBU3yqQBBTsAvh8
BG/QBxxoBKXgE/CBZ96wbdGyjtBFhXPQDPJV5WjfesFGoN8kxusKhoIU9dIqE6yFFGRtC41Bp4vF
h9ZgC35DngARTnTBenAF/2EQTIjE0ue4hDSzULAkEugSoQyubUM0gYZWwYbOYFWgXke7t2BaqFAu
QgQZ+HiwMFyoA1AcussQPRWcGuVHRGFeVeH+H+Sprx9RiP7MU7DA/rLZlP3VpgIMrt6uIPHsRQaC
fpP97/7ozwO9Mm5v+hy1ofUTruWzoKrL4LHm7vzAxqUc+VPm+/zBnj/1H8eJ13y75ol30HS0hXAD
oi8CBykeXN5xRsPQy9OSApOXXmU8gGWe4b3ezdHvZuHPX/BlOv/8N3/88L9Ogs59P3oS4DwRnlDk
fXl8nARASk0HWn57fi+nQvSUj5wK6udEY6Tqr1MBrPHTelBlQVUTItIvqMv+rQd5/KZgzdO6iZ4J
uJB4sPV+ngTR22mzGF67S/dvEoQV18iVYB5QGDcEX3H3phB8RhlsSNFf8of/40l4fzrS//QrXfOf
nIz8yj8ORusAeI+wiu7e5weMlZ/WAAcjRVnkzYENnx97eTyibPy/mQmx4N9PBU1kNsCk9vJNP5wJ
6gG2p0CkvGwvz0Vl/JFgHqCVx5fUf7MbxHLgObi6zM5eToLIi0ceCfYBGDQptCGWFY8dwQINkBbs
4ZcJ/z8+EnZETILVPHoSkDdyHJpMd0+Cqh6QJNmUwPY2Yhp9OSBJyW8MJ12DayceO25Ijd4wJC73
4nLYsRKE9u64laBzATrP7WWvUSFf9acrglgJaQY2i/LyXvu3HdRf6Zv/5JoUv/WPy8E5UMRpABnz
ZSX8ek+qGsEUJBowwH09GPlC41YCKlIiUNIpA/7mTKDESDSBTfnLhO/hShh/O1gHgLVUitCPfX78
uhK4IulwsWz64l9maV/Xw/hNQQVYVIxVwUz+9UggihDqXy9h5b4uB2X8HKgHlKptg07el+XAGfjT
VCjGgWEahoEO8dtyYRfu384QSswjjwf7gN4uVSGAfJmKD7elfED1hIxzP1KpHbflh27xf39REEFr
MpabrytfUO1/Xg8CabIh7gsCxl6uhA89gP9+ErgtNXrFuAd+e1HQGUgvhLOvcZPQNBm3HYibLPgy
lirCaPH4kE8CSsLbJ598uZn38Ex4iWVeHEH+RoT/FfBqH1h0uwC0vcyBSNN/2g4EjyQY1D+N/T4e
jdHrgegJEIWLgILv8+PD8Uj0ZKPSScKxpyfDKzg+Zj2gi4HmBbPwewzasg3+ETYqe3k8Cl2lcSeD
iKNh22FZ+iGVIqmmFm9prxfR/h0JH4QG//XlIM5FDcM6+BCvZ8KvR4IKZ4KYSd7bfSBYHCOXAKIy
QiXXgDTy/PgVYwJeQWpGFGv2FV5RRqdSwCuCSqPrH/eBfqDAsUHu/PXu3NOzQHm5uccdiLaschwg
pPry+GU3KCKqdkwaRvd2IYzPHIwDzMIErvASBOwKmgUaSVC5r+jK63U1ZiU4B0SDqPSRNe+OD9QD
ZKMUZLz3NWjWP2M7cC4iZ6W8go07zkXwBlqe9zZzEMS7cZcD5yKBIuXnV4RJpOa/Bs3Yp1GgFs5p
exkkvZaHxmwHHTF7FS3Lt1LUryuBg1GlXUC3hLAlj33FmISJ2ej1AHpkMh2/CZoJFgBVqFAL3GGP
p+IV9xmzKvjRwQ3QHn09JH+FV5gKWXdsWln29ZB8rZeNmQQThBnCAiD088/94bokqSZ4BqZ+DVT3
L414hTzGTIJ1QPMRQhrma4j46/nAJAixKY4Hfa83hTq+ai82hdCTfJ2JD0iTYLdxaQI8vCQu+7ce
Pvii/Ou0UiTVUPDJGF5+7l2XJk/Cf+NwEI99vS+EYtq4+wLxUZSjxRH5ijR9iB/oVzBwlkCleE/j
h9d6+pjzgU3hwGQBg37+uT+uBy5NYigZJGJPJwFl2LErgUOSCImM4neHpHIgahG6sbcUv9eMb8xK
4PSjwRv27+t1uWM7oK/DHOxtTvHKQh0zCdQp0Rw2qFX+kkygb6xAcaEV6ZXztae7QXzwkeciLiai
1IC9yW7QjanAgZbUcm8vB210cqlZgG5CMYx4YCfgRAQNTRyAVtvXYEEdD7/aB0RDYi280l53HQlC
nRtFtLdJ2ss82xh9RQgQFliNo+EVcflQpgR24pakKWBfIyYhyT76ZHBs2UB84CVW+JBRcTJooocT
F6M9PR618dgbBiIWzFd0XV/W/IeVIJiA4h+gWvHY2/UwPqOi/kDnA3fiK8zw6/nAelDZFZwh+7oc
XpDBMREDJSpOBV0IJT8/fp0DOiNUB6q44+x3QiU0S0YeD/aBruGnSR/Eb6biObqi91ow4fbyohDe
FCMnwSBfQqEP2PllEtj+H1Bpzk/Yn3u7KcYHDs/sTzrs34LlD2ckWSXK5pyS+3o66uNXgkUTiAxJ
wfxdpQojWlmA88JDcC+3wyv5buTxaHMHcP79djuARikKerr7OgnjkSZaZdDTF/Hhr4cBLA+L2gxl
/H/+7f8BLvl3g/LUD+Kn59bkYFPt6mD+3R+89eR+fP5d4/Fza91PfylalV/e/KUzV/z3f/3cufzM
6n337BvL9/mdXl//+hU/vvlPb/b2vd7+5yHG0OvyESGC54bt1w96tk7obf7vmH89rd83BoJ4aSLF
fft/u9us/74O/jw6Ys2bt4F+OCSJNqsfX/VjD/c/GzxZP2Xl20DvBmfNjB58Iswq3sZ5NzZx8uix
p+t4veUnqd7Gejc+u338+AgBVh9+UsIswotPGDyty/Vf06yqd70FO3n0W8w28V9nWblz/kEwRo8/
j/+aZSWL522sd/PPjTx6/EW5qXaZNAoC5OjBl/EmTd/GeffBP2O7HjbJQxY/1R+HF3St0R99leSb
MljHb0P9+PSik2L88Gj7vg3zbujP2LHHm3LHnIuOtdGf+jhIvR0HgejGHT32yTracYYJstEnDF1V
m11z8hkb9CSr/vrv1NvEm10z8xlb9HT9xAH8Ng/vVstnbNHTNZYOO8b+jC0qxs6zXae7+hlb9HST
PmWPwa7TS3TljV42p5vycfP0NtCPeRcV/fGDZ3z2t3Hejf0Z2/Q02zknn7FLGRpfrE2/45N/xk49
W+c7FrookY6e8LPNdv0xdsRD+DO26Hm55gh4+5Tvfs7P2KIX8fpxsyN2FODD6Gm5iJtkV3AnlGdG
D34VEDpWwdOOmRFI9ujxr9ePJSlBWu+4SwVK/AlvkP412WB5s+sNPmOrXq/FG5TpunzaeZBpn7Fp
xZvMgo2360t8xq4V4y/YAY9B9bjrPT5j+4r3OMrWRbPrttI+Yw+Ldzhpguqv84egynd9j8/YzOJd
Ttf1Ztf4n7GfGb9e/zVZlw/rXTGD0Nb6jF3Be0wxFN5xWAs08LPeoWyGt8F+nKmCej3+Dfz1zpxQ
/5RNDYaxc2o+ZTMHVYT9UvM2Ce8m5lP2chavd0UPgmQ6ftYJTJJda+ZT9m+9Ruw5XjfV2yd9NzWf
snX/5An6jFaNQJ9uNv5619QITvXoef+zbdvoj/4na/HxgwMQJbtwOQFsj56ZL4zQ7Nqrwhhu9Oh/
sCoYOy9/UHH+89C7YNm/VRo+grVv6o67XvYzFi3+4jHerMv/+h8AAAD//w==</cx:binary>
              </cx:geoCache>
            </cx:geography>
          </cx:layoutPr>
          <cx:valueColors>
            <cx:minColor>
              <a:schemeClr val="accent5">
                <a:lumMod val="75000"/>
              </a:schemeClr>
            </cx:minColor>
            <cx:maxColor>
              <a:srgbClr val="00B0F0"/>
            </cx:maxColor>
          </cx:valueColors>
        </cx:series>
      </cx:plotAreaRegion>
    </cx:plotArea>
    <cx:legend pos="t" align="ctr" overlay="0"/>
  </cx:chart>
  <cx:clrMapOvr bg1="lt1" tx1="dk1" bg2="lt2" tx2="dk2" accent1="accent1" accent2="accent2" accent3="accent3" accent4="accent4" accent5="accent5" accent6="accent6" hlink="hlink" folHlink="folHlink"/>
  <cx:printSettings>
    <cx:headerFooter alignWithMargins="1" differentOddEven="0" differentFirst="0"/>
    <cx:pageMargins l="0.69999999999999996" r="0.69999999999999996" t="0.75" b="0.75" header="0.29999999999999999" footer="0.29999999999999999"/>
    <cx:pageSetup paperSize="1" firstPageNumber="1" orientation="landscape" blackAndWhite="0" draft="0" useFirstPageNumber="0" horizontalDpi="600" verticalDpi="600" copies="1"/>
  </cx:printSettings>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umDim>
    </cx:data>
  </cx:chartData>
  <cx:chart>
    <cx:plotArea>
      <cx:plotAreaRegion>
        <cx:series layoutId="regionMap" uniqueId="{97EB886D-564C-4E57-83DE-DAD99A4FB094}">
          <cx:tx>
            <cx:txData>
              <cx:f>_xlchart.v5.10</cx:f>
              <cx:v>Amount</cx:v>
            </cx:txData>
          </cx:tx>
          <cx:dataId val="0"/>
          <cx:layoutPr>
            <cx:geography cultureLanguage="en-US" cultureRegion="US" attribution="Powered by Bing">
              <cx:geoCache provider="{E9337A44-BEBE-4D9F-B70C-5C5E7DAFC167}">
                <cx:binary>7H1pb9w41u5fCfL5yi2SkkgOpgdoqRYvsePESTrJF6FiO9pXav/195HtpF2qckYGYly8dd/KNAZJ
1WGd0sNzeHb++7r713V8uylfdUmcqn9dd3++9qsq/9cff6hr/zbZqKMkuC4zlX2vjq6z5I/s+/fg
+vaPm3LTBqn3B9WJ8ce1vymr2+71f/6N1bzb7E12vamCLH1X35b9+1tVx5X6xXt733q1uUmCdBGo
qgyuK/Lna2cTB9+zMg02r7ffo3++/lDHm/L2lZPVadW/fnWbVkHVf+jz2z9fby1DX7/6Y/ptO5y9
isF8Vd+AmFlHjOmE6rrU717k9as4S72HtzVC5BGVQghish9fe7FJQDmfozt+Njc35a1S+GF3/79D
v/Ur8Cz++q/P4Hp8FuPT9wDEn68/pkF1e/PqqtpUt+r1q0Bldw+r7J1s/KEfr+6ezB/b+P3n35N/
wLOa/MsjiKcP9r+9tY3if0H4KlBR0Gf178fYIEecEVNQi8n71wRjSo8sZlqmbk0wfg5P+1HeWWEG
zjs0B4Y05HzT3JYb9fuhZuKISIsSyvm9OEMfbIkz1Y8soUvKDGtbnJ/F1H6sd5eYAfYu0YGh/VcM
dXmzeQGs+ZHQDUHFD7HmU6zpEeXU4BY2wf2Bca+5n8HRfqCnC8yAeUpyYCBfbdJX9m2ZbsqbIM1e
AGvjiOiCEYHD+u4FRb0l14TjmDZ0yeU21s9nbD/kT6wzA/knKA9sAzhZXKuXEHKYX6O6toj5hEKn
Rzp2hiUNcxv5+RztR3xCPwPpCcWBIXyVxZsXEW1xRE1iCM4fRHtqgcM60w0pTH16ZM/naD/CE/oZ
CE8oDgzhv5LNTVa+gPIWRwynsE6FMdHasMY4p1SyB+8L0G8d1LMZ2g/w5AfNAHhCcWAAn6T9S5zN
FuwwalKdG/vdKzIa5dKy4EVv4zuXn/3oblHPwHbr8weG7F9xHqQvER4RR5aEa0zMB2yB4LbdJSHB
nJsmh2xvye5sjvajO/lFM/CdUBwYwufZTXb9+3UzYiOG1KUpiXUvvHCLtwCGijYNCvjJJDYym6H9
+G6Tz4B3m+DA0LXrqnoJ8ZVHJkGsQ39KfCk5Mk3DIoROjt7ZDO1Hd5t8BrrbBAeG7kmS35bBJv79
4svoEZdUmAYjT/jF5hECm6ZJYH+NrwnMz+FsP9I7K8wAe4fmwPB2MgTmR2dYVS/hEosjnQgpGeP3
Knt6JsNhIswQJicTe+u5fO1HfO8qM1DfS3dgyC9u41cXGVJlv1/UxyyGacBdGrEfXzvhTgOhEoMh
3DmJdz6Lqf2Y7y4xA/BdogNDexm/WmQlnObfjzYSGZxKy6Q/UlaIa07tMog/4ibmXsX+LNb2Y767
xAzMd4kODPPz7MWCYCYX1oNs7wj3mIamQkiuTwLcc/nZj/EW9Qx4tz5/YMiukJ9/EWytMf0MIwy1
BPeviSgDWy5M/CGTEPZ8jvajO6Gfge+E4sAQRm1EGqh4U79E5pkfWYbOESt5CGPvZJ4JEhXUgNU2
scqex9V+pPesMQPtPVQHhvg6vk3TFzid4VdT3SSS7oRLYHtLQbAPJkbYbE72A7xNPgPbbYIDg/UT
Io31nYdV/+ZyMNjQAulE/Snf6q4cDM62pU+k+Bks7Ud4usAMjKckB4bycZ18y+Kb6vfLr4G8k7CI
YezKLwoNLMJ0lJX8OKsfR7Wfw9J+mHdWmIHzDs2BAX2GypHfDzIzjxi/i33ee0hj7GvLhYIsj4EU
wihc6ccoz+VnP8Jb1DPQ3fr8gSH7PkChnwpuXiAewtiRFLrJ2AO6u/By4M91SqY1Qc9iaj/Gu0vM
AHqX6MDQPkO9+EuY1qjRRkEnNQzzSQfKwntIYkwFeS5D+1He/j0zEN4mODB032yilxBjKGFkLxDX
eMpvokeSmMQSfFKxO5ef/dhuUc+AduvzB4esUrcvcALDzDJQOSAk2ivuXtOqzbEaG28bwpoI7pvN
XI6eQneLfha+WxT/AxD+NYtbP3lsvfjrh42zp2vmuU0zKLZF1tiS5OmmGYtwyonxEPL68d33Bdio
ef/Z6HNvd+3jaT+yj2m3fuP9T/z1Q/kf1xTzJlOv/kq92/j2Jc5V40g3KWXix7k6TSSicGsMWBkc
6nl8TZLHz2RuP577FtmD69Y/oR9sH9mBYX9+m6Lk52XK6eURGQu6OH8oG5i6RpQhl8gtxsZExGPX
6FlM7Ud8d4ktcPf3vu0SHRramxu0RL2AF2wdoSEK4Uj+UEC/A7V+hL43Q0BVT6CezdETOG/TzwF5
m+LgEC6DFzCyGD+S3DAB70OqeKrFUQ5ionPG4nISsjzfzGToKXwfk8+C9zHBoaF7W16j/db57Q3K
iGLolrR+poZ34IWRLYjEGW3sO6TPZ/P1BMrb9HNg3qY4NJwhNHn2Iq1OHEAa0NPiwV2aamrEK6Vl
cEHhLN+9pvp6PmdPYD39bXPQntIcGt6o5bstb/sXkGzryOLW2Pb00Ku84x2TI8u0DItNG1hRhTGb
pyeQnq4wB+kpzYEh/SWLX6aQCxgb6E1FccdW+gG113iDE+SbtgV5LiP7od2ingHr1ucPDNKLTf4S
JjXcYolwNOLNdyeuviO4aDxHVEuHJt9Gdi4/+5Hdop6B7NbnDwzZq811ibkCafUyImtytD0ZGBRx
94IPPJVcCDT+ILs4viby+zze9mO9Z40ZiO+hOjDcL26bzYsMk0B9pUU5Kj8e3OQdmUb5FkGTuSEn
aYj5HO1HekI/A+UJxYEh/LbcIOD5AuYWQ6sM6qWF9VQrI+aJmOhEtqbyPJ+j/QhP6GcgPKE4MIQv
48317cv0maNAesT4IS2xT4b52CpF7/X6JOA1n6/9OE/oZ+A8oTgwnDH5BP1P9qb8tnmRyKZxZFB9
jGs9XVdtScEMgukgd69tY+zZ7O1Hff8yM8DfT3hge+AyrjFh8AW0OWIhzOLoj3kAf8dG04+QV0Zj
M5sU1c/naD/eE/oZQE8oDgxhbGOMfsLwwZewxDFawsR0GOQvfmrsHUtcpzpKOSdW2fO42o/0njVm
oL2H6gARf1MH6tXbb4HKXwJ2E/4ztWBui3sHexoJHetGUPaHtvXJET4+/Gey9jT2+xaauQH2kR7g
LlgEt95L4I+udoKMFjrbJ543xrwRiwnMgXtQCDtH+qvZPD0N/PYSMyHfJjpAsFdwzK4DdZ39eOZ7
inYQ73re+F2OQnxd5xgN9ISCp6ORh+GtbI+k/+Rojn3xNNy7y8yEfJfwAGE/zTZF/VKJawi5QQHw
3WuPu0Ylqn6lvI/J7ITZ0lfPYO5p/KeLzER/SnaA2J9jlvRL6Pe7TCfnsM3vpX7HeEcAnQqUKBl7
MJ/N1NOIby8xE+9tokNDO7gtX8RJR6ekpTO0U92HyndzJfoR3oQbjwGP42sK+Gy+nkB7m34O1NsU
h4bzXUzGwTD9zZxD89mn+Vgtikr+h9N8ar4h5TmO0kcUfeKUw24fR+XMZesJrPcsMgfwPWSHiXpZ
Dy8AOgoMuUEM/ccEuR3QMb8Voytww8Kujz6CPpOrX2L+eI35kD+mOjTE/Y0aH+7vLkdDSwdGPcIF
Y08N2KdH8M90Af/9h59wX/R/NZujJ5Depp+D8jbFoSGMQTTJCyCMyUMGkxYKHJ4qS7rzzi0DxWoT
hGdz9ATC2/RzEN6mODSEx6GQL5EnQ/U/oxS3ZDzEznc0NgrPxpncO7nuq9kcPYHwNv0chLcpDgzh
D7f+5iVkGFoaAx8tdPc8kRpDTTjGgiJqPt58tGt1z+drP84T+hk4TygODWcUvuO+qhc5jjl6oxFG
eUhx7vGkx0I0pEAnjtWH+Sw9gfFkgTkgT0gODeUal2AkLzKGGz0eAvebQCPfievoJW/nwXRYXZQQ
QRFEe9yv9eEZPD2B83SFOUBPaQ4M6S/1t5ewvMauPII5cZjyd/faM0LMRBu8gP29jfJcfvYjvEU9
A92tz/+/QPbpG+p+XvW32FSb5d0lgY8uqfv1u3cPB3cbTkgfxGlPsuMHBic3f742Ecl8lPsY19iS
w8dty/fy+Q/VLVy1P1/jqkHMHhqbcXVMcDUxDxALtrf3b1HUuoyViRgxJ9B2PYZFU4yZ9f98bcC7
JuPgSH3stcZwWBhzKqvHtzAcGuNRBDpG4I5h7JwkP+9vvMzi3svSnw/k4e+v0jq5zIK0Un++JviO
/P5jd6zqpoS1gDkMFjoWGKL2COHk15v344gNfPr/VAPL8qKuu4u0ZXLZtK6f2xkLeeREvG3eWZrZ
n4Zdk0ZLXY+qL1VmNB8jQ3WFrWRa/P3o6e3jBgfblBtc94SxIGh7wiVg4/H2mBsj7fNI+nVzQYuU
XHjRkLp2zTPLd7qmyqTdtEb9hTe5FthlIqrCKcIy8mx3UNxwUEaW3siq0t9iDb9e0DgmHwdTE2Td
W6Z7S3qNdKtfc0zhHe1wjIYPTEOQJseAKX3CccB9YNtXF6wzPW9hdUP8scHFN2xV8T4z7abvSLgI
uCvsgVt9YPeRztZJU/ZkUTZZdeN3ShEn0HJzoXA5Z2NXia83Ni/NyFt6WehfRrU8TZT01QIaRn5S
fnEWxa3ZLQOlWedB6TfJ+te/ahcGFNTpmEGOscPIzN796Eebgvea12p5rC7SypWfMk8QahsRxdbI
07q7bLtSXuUuiT//+mvHvfZ4L6LbDdOtOcPNUGh7pGxk69HXmnrnGbny0otUDOSCRH59karSCYTr
f/r1N0F8dr5JosSEY0gFFLOY7LM8NfqhKP3sQuS6sSnarIzXbiV6ake5v9SLOh4cpvcic0Jmtsl/
2zTjptj+odgouFzFwIWFmEs2/Xp0DwW+lybBBS8ic5OEtbmJ4pEHc0jU0iqzzO51QL9u46KldhFl
/LaKpTppZW+86SxW6g5rwyxyQp4mH1mZU7bwRd/f5lqTL3RtSLhjyswoj01mDbX966c3TjCd8s9H
tYESPNzEhz6YbaB0qzZT03S1c1K7ySYoK+XZRIuq1LBZ36feaesH0TdPyPxNNxT+ysqMLnAoafj3
ig9D5vS+xx0jC5vboGT8pjFzn5/+mknD3AGZGQybaLShkXQyOY7Xx9vJKkWgl37FzkOjyF0pFpX0
h3VXdUyuqqaunbIr9HdN0pu17fs+d0qSrhUt83Vs5NSJ4iJ5n8dm0tk8br2/2zDJTnpVVXZuFvlH
S0Vi4Rap69RZGAZ2ULGwtd1QpRdtrqm3hTawpecRGdra4KaJQxs/OTatKn5PQ+/S61PW2XHNi4vK
LT5UNNHYwmooHmTQU+gGox4GW29F+Cb2TfHF1Wvj1LcEeTN4XSOdVveNxMGmC040UfaJ3fZiWJDW
1BZD2F3nqqiual3jvt0mFV+5qqhPDJfSD4VP2mjtco0E9uBH7jcE/svGDtJC+1onPFnkuaInUZbm
J6SQ8U3Q5BbkniXRVSDdjttNYXinpVvWTo/nsCYGlW+LNumWRlsWK0I60ixjjLH3nKb1ROE01HeX
iWLlos7lW9/VPH1BSFYd46ihrZPqoWWLisefu0T3z2gp8yuTVea6lqFGV8pKho2wsnKp9C4cVk0k
vJXWdfqGqrj9rrw8N52BVnptpx5tvFVXhRmEo22XvdfUYlVmrr+IK5Ycp/iojV7MMsODThpuhyoM
NYe7Lbd5ZnaDbVSx67BKS5N1aUVLz6h7/V3LiIH7jks9tkPspGrFqlaqdcd498aKhiF239VtUSWJ
3Qdxn5Y3vutTOnxRrdbxxLdlCVWeXdM+CStW4sqMus71iyqqkqg7lUExrBtZV+5JUgZBboc0zq50
rrGTsGesdmpg4Np9ocsOcCVCLFLXxXlYxVFbLK2o9XSnjCvivvUL3eLZcdTz1l/0XSyrN5aqGHZU
62ZEtU6Ns3BlaX7ovm0gOpbnFCIX2HAsUskqjYNS2nGBw8tddk1gOZqLGl3T7l09NXArgpskji/r
1l21MY+TpXJhFazM1EsGRwwmNGZKI6N2Er/UYrtRvacuVaAlyTLzAvFdqxse6As9o9U6MEQtLkzN
9dzTlPGKm6GTdqoY+mOFsQalv8w9nydLVzVDsZKlSoNVH1tJf6wrleSOSfs4cHhn9vG6DIpAcwAr
/VvLk4EsMFsuShb4T9fexqGuKTzyNP07TBKZnLBSVvEy8ivr/VBXjK1CLaPkzG99xVOb+9Sv1m7Z
5OkVDmN2GnoDjVZ1Dg6WWRV7w1KQbpCOCPu8PU9Ej62tQVTKhUtIfVoy04wXnsu8esHTBnAGXME+
SYeQDbdxhAjtQoCBZMH6xC9OiB4Yx17AI8uhUVSwRZAF7mKo3ci0tbbM5WXotqHhsKAIBzvJw0E7
093YWJHc9UywK3m+JL0/ZCd+QFpvGUnDb+3xczaRgUyxfTxWOF0baINddYH2tcRtYr1mB5AjekGG
NBgCWzSGxj70cUvrCyuXfbZIZVGdm3WKI8lTPAKBTBielhv4JP0ykDj1T4s+ibuVas0hOCOVV30w
QmpuzM5NXFsQbN5VnXacLZU1BGC+JmGyiFkRKUe07jIgQfElbltYFqEXNlfKtNpveemz44a3nrsU
kalTOxUu1jHjLOxWadmQi6HLmfFOVSb5QCoNn2gtTQmnIj3vlg1NwuC47ChtT1LuKfo20Lj8lOrF
uDnDsFBrHitfXXa9UQlHL1pg47cpGMsUlO4ZTjD5iQkduzuBliwXaNHvspNKSZdehmUdRe+pSKVx
0hlhW59XXTUan37fXZqRZnXLrE3w1Vk2DI3d0aQa1nrExx8/st5CP4GvPCEXhpniV9SFiUflR1k0
ODJqIDp57EXBu7TkEPmyhlXg4T3oVFql/tuCGH2Z2iz3dcDdll19nmh+ruxAr4tu1aEhmS37pqCj
0oAwOfhFUCCdJKOdXKXJJxf3EpyKJgiELXwzwr7oPWvTpgxsdGXYv2dVp6szD2ZueJblaRReCZwW
a5Xq5KKQXvHF0KlV2L7hB/Q0E56sz1w/85pFX/KihYHbs3VO8VgdnRf9dRRH5mVXKz07LvS+if5u
rcRTx4mrJd/7QY46JChifwE/QLBlQHtfrXIrkX9rupuskjb3CpsbUHN92frvg6xSZzKJQnNh0pJ6
UHu4WcNufCo/laHWeMuYphCTQXOZPDHSjBS3CRRyf4rJzpCNdtTYy9DU8ES7ZmiWOGTa4oyUNbUc
V8ZVg5OWNTpM7yL8WspGftB6mOmng6xKclOptFd2QghvToKWYqkuIf7gGK1neSc5YGkdLZLWasia
pjrveh5fhY0qbMHVsZF0jXk8tBbAiXSihnUeR1l2nlqd8UardCNb+kWaNGde3+a+I0yV+B9giagb
XaZQI1CdqrEjX7XKlm0jCpwCfXEVewUJPpNsYKKxB1hg/ce8YprEYsotlz7XIu9Uc/P2m+/pWuPE
XFnRSSB18q5Tmjusy7pQwTIYamzSgFYhu+yieDAvEiuPY7vIG906N4hvdE4P60YtWz8Haq1IA88u
B55AdygVL0nHunLRxFSU60EU2P2R0Xl80bu9rhw3V1bxd2v25EPol9hrOOnkJ+z1RF2mMiVQsDSX
4UokvtXaXf2FiroVxI6ihn80aVq0i9b0KuPccGPRvC9cJUsc7tjRyzxgQBOOQ9+9CVgVZW94mfvs
knZ6bJ24XSbxu7pO886jUsvbRaJc6AxYY3V1Hscu+C9l5K2ULyJ/0Xa6ftIXBuS+tywe2Ibr8/M7
q/QhdnF5b+TfO+DXWd6XgedXk7/+50OW4H//Hml+fuYuTPHP386D6zJT2ffql59a32ZjFlZNP7S1
Mr79gbsxfLH1l51QyhPBkve3qo6rJ958OpLys016jDSgqZqZuLHskRG/E055mHz9OALzD9nPeAou
L0SeSyJVDVm7i4z8iKdglIbJJcLi6OdE5MSCW/IQT2HGETY15Qi2SsNCGzccvh/xFAzFgo16P7KB
3L3145duwYkY0sPfH8dTpp6RiQwrroRAjzhqnSVuuN32OTpd85qyTOuLoY+coqxtT5l2IJL/5oHp
e1x0E+VXYxuUTnFD0CRuQ6CuCis08gu9NuXHyC80y0l43A/HqNUxS1ixaW2cKOUOVyHFKYV5Bcbf
oeDelzwLxWnp9fKM8ASWPSIN3aXfs/eszxqYxr3H1VkThYp9bbrCEpetWzTNKiSZsWiMJrCtSIvf
tmGsyDLI84zi2IvrxhGa54Z2oNz0cxD1cmmKodQXKr02Y6O94EYevzVqPY8dkkdxv8rcjjlxU9ta
rLLW5kGbsbd6Q8zoTROHb8sqamHxpB1szks0/92aKr9JCw+ejP6BN8Ux4lVrU7OyNdXxK7Q8WErD
XclkaXbJidv3xYJFSbBQJVnEffHdF/77ITcuCM2/16y5iokHRWaU4RceZWohvag+13heXhSwRE7j
QJ7nMomXw0CVnWoa+27AszuGRtARFCnyZdK4hR3EmrmkrThnlbxQqWoXAxXNwgsGuq5S/rEn2ueY
+sUCvrxZ2lXlUW7XjPrYFm6yRAVdsEToEEtUdEUiq/xYGhXrFpZI/ffKa7RlzUm5lJ3efTbioMdT
pFllq6guF4ZW9ovQHN4XViVOfQQiLx7J3p6tvCe0heVMDNMeL6hi2Nbbe7noy8LzOlFeqGWyaUub
XA1X3NbswqmO02OX2P7CWyZrviyXqW2eGiu2pMeuE/2XvT7x4wUa8hEPRO0ZLlvREQ8VKEF57Meb
XdnWnkKwxqXeaR/7nRN5hWvnrUFxuEZyWTQuW5XUKgPbFfq5x0v3lAAjKyoSp+f9hXT13hZ0+Frh
RFgpCuuiqvKVK4av3HRNO3Q1H0HE7u8izrlNy6J3uArZomtdahM/TGzT75Y9k+uWpE7oDk5hCNce
THk8MGL3lK4x5pjYRVViU0jDaZL0OOyMRcaM0s70fNm23hvqRr4dpQFZNHlgJ0moFhDii7aTbF14
YWQr5n302uyYsOS87oRuayKHBYmNxmVhrGo9vPo1xNtKBE8WjbUWJgKO/e/MYnKiRORAW5knbnmh
N0m4hiKI8eP11NECf2lmgWEbhbf59VeOqav8n9jX7ndO0NS6hpdN5KkLeCZfTLd0utrLFoPiMJLq
86xwdduzytzmReGYsapsE1HhN0NZ+7bQzDdZID7rAcyqRmnf3chY5UVxTjPrne4O16ZXfE3aoFgU
aZGf3TH+u0/u/3lnMvvlmXzf+Famm/IGQyt3j+aR+ufRPKY60Kg93uvOTGIC2p9HM9rwUS84XqZj
8NET+edoNvEORBwBOoymtPg4sPCfo1kgpo5L5HH/Du4ax4LPOJoRn9zaesjA4AoIXOXD0XoI55GN
+dbHikR2ppbj4gD/QoPzuzCbpFqKoWcnVtMXX5sSPrldQYRL2+o1zh2kH8zEdttChR/7MAqXcrAa
qP+SGgvsL6/TbYvrzbuuFVm/qZHfKaERu2Koqd3FTUhzu2DI4XQLxGAhxBEnxXCCEH7pqXWVa7F/
JaqqtUuzwsGZaly37MEbwg9JFjcfjcoLqRNHen/lEwFLlYahv8pznEmIRKjj3odfEJs1/5SSRqvt
PqyaT3kiRWczMx96x0jhpzuaKlInYrm4ZFGTf2FJEX7RzNw8xt3AFcyCJnbfwtLyhB2LMDgfVCEQ
wnGHxHNEYLmOzOhJ6umJk7CwPkdAMbngVtq8T6jlL+ERU8MJEOo4rjXXdOq4EF9pmnRwaCuZDXZT
1hbCpyIwuROSmL/XiMgGZ6iS4Dgu+XCdUIQ9fc/oVer0emGWdFVLM8xd22B1lJ2IhlVrswQgahF0
WvOlCkpCllHjNksjJLWfLkPpu4O1HCh8utzuWzYM8lgiZ0GWfV56a65XwztVNuFXJlP1TnLFV2GM
tIAdK8P/ADfzQjKVt5eZhqd5mcKC05cenNbE8dysLk58ijD3WxHQ8EsUK/qhk3Vce7ZVR6HdpnoQ
H+ssrXAyitwNTwpSht1pwgOjvbVa4d1KjGNdI9bkruLAz8bzAee/0lRvJ1rJF5EI1GefkbxEyFiT
jjVU9wfo/2qucfjWz8a0HW/i8c2ku3prpP2ht8b7kseBAkwSghq6MR3zQ2+hpAo2NopjUeeMmQSP
XQpxRPTREcGwZY4s7ngB2A+9hf43WE3odLTGGp1RpT1DbyEzNNFbcGqQosIwSGQS8WfME2/prYQP
Mm3M5m3cBAimO2WR6adxR4zTdEDuwQmtBArKozbvtDciRS4oNJPGbkNr4aeabpMq/NB51VkkuqtG
7970Lgnt3LekDT8bAZNgQBy6+tQmMDATdmIGls1iN7MLod7mXXdq5bXldElxEgwxjHKlEFH2pO1y
2a1Lxr4z4VVOC0Vj67D8HTjldFlGWmEPAlZLGArHiBGfl8r/0lsuNn9s9EtZ9clCL/MPhlXXtlFr
1EHG02H5oDt9W9mGVzROmbp/x5IsKmr1TqnUwgzabxA8WGxFssD9yNdFyAOnsYLPFmJe0MfWCesE
AmAB5DGjny3PWAueD47bspUvSs1mKjmmVmMumkwcqy5JFr3RlAiIdt/6zP2WVN1bPfML20S2O9Bl
4CRGtI6i7kQgZbciXVsib6tltvDyGw9+2aIj6ec8M0Ob+Q1buHV1a7l0uFBRvwly0z2rzQCpJZMm
tu9ZSy0V5D1VHAY8EhNOMIawMtXBsmyjM2IWzRchcRTZNQoFVkiQOYPBg6Xh8mwV90x3YuQplsL3
YSXJIbNrmqrzXhfdIkJOeSWyIF+4sdY7FXazXarIX2oBkie9HrjLVFfBWaBn8VrItrqiZjN8aofG
X2Q6Ao6RivXz3kr4amij6EtWNvQ0wJn9uVFJ8h5+VHHpWzQ4EaTs3hTSZYumj7NTBATh5mqGEb5x
2zQf4+Hdm7ocYmoPie5+60SgCQRwtOIkpfq7KJNk6ftt/lHv8eDXLqoAvmqh9L4bIq6XiaSI6VZ9
vYyEcPqEos4gzGu7GSrsmxKRZkXPq37AU2+XBYxqlRZfkBSQjlbUF6WftseuW3UrnMsdPC1Y+9z0
G9vo8gujotWqSHTkTMtqWRB5hkSKZ0dxgDgzG8bsm0wXgxGRRUZEsOBJr6+ymvn5kgZXnKXIdQVW
dJ5JIc6i2ms+SaRjTiyUj9k+IpZrTaSDo7Tye0dd7RjR+kUn+uA+rfn/uzIfpzf9Spn/FSPQdbOZ
6vF7skd63BhH6groSIE7k6HiH+lxXBuFdjXGqM5g//1jf6IKD3Ea+JhQ9AaqdPDWP3ocTU0MxVkY
0IrBcLiC+Rl6HNGpXT2OIwHnC0c2CjbvRI+LzitkLfz6bRhU+amIpXFept2ZSGO4OnX5yYIyKsIq
Ok4zHg+3fqYK7V3d90j/DYGDzFP8Tvp5aldR/67yjNNMJdmqiFVgk6FHyUhEtHUQN3Dbcn/lRY1/
gryk7ni5a9iIHHu+I5siXSU8j+ur3su/SL/PbA0Gs82RHAqdnCrjtOm04dRE5AUnTT9u4DqOFv24
pSvsbU9ikwfjdu9Jho1PInkCawim5ygWdBQQcS8qV/md7IhRjPJRoJpS0xd8FLJsFLd4FDxqSUSS
IYvRnVB6xDFHMTUhr2IU3GYU4SYeOlsbxVqNAl626oKMIl9B9kvogB66wNf7BYVu0A3vrB2VRTWq
jQBRcjuEJmlrVS/TUbl4rlYt8WXed7fNrK/9EDbuqjAL30a6HJlMX5FjWdbv/YhdiVBP65Pc8rXq
XUDS4hgJbyctfOu4MGGxXlkVjHnbr13e2Iy7xpqRtglthBS+R27dngR9Vq/rNIoWQ5Je9qG6sIz8
NI39i0KnZ6LSVplqT7XEWmQDotDjARoOjhnkN21K3weV/PK/PuxdXHn0J39hCW7iDW4s26ip+kA8
CYQ/1Qdm5o+V9ZB2DOe+M7N+qg/MHZKo4YSFiEFy5ji690dkWRyZ40BJTPNGOg1ldHjrH/UhUMYN
l1egUGbULc9RH6jxm6oPjEsYB9lZ0FeYdcYn6iP1RNPEjcje6nrsHeeeu/Y9Tdgla89q3vTY4/+X
ve9akhvHtv2V+wOcAED/eGjSZ3kj6YVRkkoAQQOSoAHx9WdRmj6jthP9fLsfFFJUZ2ZlJoC993Jg
+mImpvYuse4+NtNdKz0Imdrm8wDgMMPQcahX4eexO6wpXwI3kZ7o00l4NpHOwjIxRg6Ql8BmzmKa
u57Hr8K3Q4qOxE0NsWfwsZfB9w6RikHDOWLfr91rEXGV2j662mHF3lIVxsF6PPFGYuj1/JONyibh
XngNmPfMfezLsYzu4yWssnYo70cyvDGgPKC9+Mvc+F2yQB4FQUA4p9Vsr0EbvpoCvDE6+A9xrV4D
M5/jil6WsH5y/OY6RkuXgiJ8bgegRw6F1KNYzqH1HtpW7ih3PrLSpBzg8Uj6MNVDd+lC9QFwxY0r
GpkI3+xn47cJFsXbWEdAfE0tEicc8zKwIsHBW2fuYAJoIfo1j6J2yud5XqH2aW6HxaB/4O5BCVYm
Zplulg3V5nahe/SQOxn0D6aaJbpbYIcOs3duEXxhY/dUTesOPFeTuLy9M16wW0VzLEEbo7PWd8EU
Pou+4HnnrR+CEod8ufhdhtt5qrRuS7Vzy1VnLQv342DvB9OGOyrqk6H1u7ANaMeRPQdioKBJWZEG
Kr6Vc8hu6iI8mIg/9jeeOAaT3CRG52DFFAE0eleGswLoB0pwtDIf3XEGRRh9EAEapalvWVKrck+b
tk2qRn2pwkBlclxlwnq6qyMQfoTn67geyhXHIBDOz8PgviPv631RhB94791sZKmZew6B29zkcq29
F9evoAtZI8wvRYmprj81fnCsfQoFgtgNEa92FOKUfDWGpYwH6z6aOhUmrT+N+TI792W3fI1ttQyp
T1DFyNDvbe9pFLX+5Dk9A1rbHeJAiUSxDWmJwiiDEe7AHN7u1WDeIJt4Ql+codPNyVYxsXSxjuJX
5c5uKvpxfuw92udlzE1ehRMqMqjBlNqJ5mPdofX364d4hvyTFW4Ccd+xjYNLMWuaNNUgs5pL7IsQ
/W0kO7pze8USDHpk59RunRLwr+eVtfdAob+4fPHux6J5iAaPJJvU79hpvBcxLuCX7ZRrT9UJJ/ZW
KewU2RjgPaK7K0L/IhpCso5ILwkkPsA2+DSO9KTVfel5XTIM0V0UNcXRBOrGFJjk5nE5xUx99XQN
qGqVb43XdHlY6SpzjFNlncX6WPwe4s/e55mwzt5dU2k/Me5+nYeLlEdQN3mpgJf3BZbB3BRv6yZ+
YGt/LWxF0Vg7j6bzDi0VDtoY8eLw6r2asGVYq7C2O3+n4/7YOOBwYqj5QCLXTxDVfYtntaTcYN25
dbj3VMtzD1pCED3AR2betxeHGf9K2+bJKZv+xswQqUBGJvMwtkVm7OykU1GolA9EQeQxX+ehihKo
fGRSx+WjGLCafY/T41BLgQEL3zikKxCArvZeFV2AngrQvm5mm3ar8+BiyskIXikRFuSDMweQrlVV
sZvXUWaqH70DZjIze+JUQemF2aO/bzz3XCv9SAryVPilyiibTwWy0XJgVKZMtBoGiQmbDh+q2NdL
Hug2kKme5HmaZnQC4+w2bFcuRYu+sNQYDbnwLv/0BD96Aqhu/7wn+J+6K9v3P2gI8KhfGoKNT/aY
C8sdQwnH3PDTPIFeAUwv/vsh0Mfw8p+GIIYUyiWAwEG1/qohiHDlJa48RAYWbnXBtPH3pPu/IcbA
pkeAnqCThuoTvyfdupKfcSE+hIuUblTfOrT/yEtAyXaqP9PVP9Y4oxMZYBwdpjwEik1mjPUuv8Qr
CKeogWppAZ7TlH2TTNxJh3BiO+6THVHu41LOLI9CNaUzXy9kLLLAUZCy0fGljFiX1rS+CL+v09kZ
DnWl35rAoDxQ72vBSp12DrBj7puzieav1UT7NAKInWEyy4N19hO6tjYnk1NnQ+ObDGKPMQ2neEq9
lQTpqNp116r1jq2+nzFenyfjuwnkHh9cSHfBJ69fFQlOgMu6rDdtl/BZV0nDXXB0UDq3YXxnY/o6
F5aj8y8rSHudJalDgN0ykGVqecdQmniBanN0+bhbQ1UkPXQwCVvMixX8OobtuSu6s8B7StRaDknD
2MNSVtmMypBXLbsWlD0Vaz1iNpkanOUudPt6hjS4Qkfmee6hcdcyLaLuFWS8kwZk5RNP/bkv+ePI
ZPcJ4rOX1XrLedxANnfU+5ouUJj2wyfDoTBqq33TLQGAMR8VecGcNrkgI0URXQVnL26vgRGVy62D
qybyqppsxnzLcxtD3MWH2Nk7anpwHfHVB5K3h9AtpZCvnVXwNpo3aPx2Xhe86dVV+2kg+3rSPB+6
pVEvMRXtY03qrnovuf26GPDmLkH5+l5zq0FE0dtA5U2B9X0kY0sOZmTqlg1FfOs1hT6tcZF6Maat
JQwO44CyQAQpU+HF640rLXQ1pWqWPSTCr0u7ZGHZiKtr1DtkQ+xAFI/7ZAgiYZN/zrnv59zGsP75
OXdVuG7u98fcd0fh278dSkhd3YyIYOfA9sf+z8cc/RcuoYKIHlaFALGsIPv+fcx5FA+C8j/87mn6
jrX8e+zBTyDX+x4YE2+GGMAcfwM1+Q5u/4cv3iRDoPwh4kcsJJ4LCZK/PuR61UOrKWCD6SfpR4e+
WmD+8cNbykoxYPc7hWPzqlNLAG01wOM402XoFdkKdSYAUdLQ8XEJKI+/LZE+DE7rFm9d1UgCTr6t
nTPetIZcQMiV5tw6Dr/zwNFDt917opuxa5iZIL32LRTHNYSgpUjCNnShbl+DYExB7MTRmgzrFGKG
ghhZHEKADX1SQ2mYuAak+qHHhoTAudGYMPqlHm65V089NvS6hDmPiAqSKgoyYsfJeffLeNz/s/R/
lHiMwH++9P+nefuqht+v/Y33/aXEI3MUdRwyF9zRxCJcSPxTiadIuEEqCqrsbxDD6F+4q4mAP/7B
7vxszsMlIhTpd2C5fxBG4d9Z+2gxfjvyb7wPgSsKY10IHc5vxBKq823lr4W+JbX7BJ3SI9P+ufH0
fWUwdSxbt8kJHB7UO8h1lVmzdaTF1puOZioS0nd9Eq7LlEHz/UA8a1PRhTRZvDFItKUYvbfmPsZz
taESeY3p5BjzgYEdqh+HrVe2rYoSqszV6dFHN63sUlAGTuoYv8jCrd+uZ+Ykw7j0NwTNOO5G8q/h
bNuLZGxMVAAEnxeoLmxr4zXQvmjr7AMheGKH9km0EaDArf0ngz72mAeKaOS5riAMD73mHfahF1gv
nKRm/kFhmnC2saLo9dVug4b1+WecHTLp/QkMEaaRdjhKeqHbhCLeBjcdY35QquDZMoOXBzkv8YlU
ddbWpsqY1V3eYfJZLDocHBhfJ8xEdOyWJCZ4Q8NcHDXmJugBQC23uWMvE0Yq40WffIxYapu14tUn
Gc7Jy8CHu3Kbx7w5gonS0FsourZZbcppRPCVuKFORs71MdxmOyjAHtg27cUY+wzGP91G0FNvE2FJ
Bd2xbUrU4Yx5MUAX1xVqzOttmiyqhSYDiS44AY/rBJmOD+GBjFrgDBrVdptKexcOsEgDOw5iWHMg
Aupzvs2xfCRuWmC05Y6SCeiifU/kSVfhkxfbN7pNxM1aJSMqvpxFnCkmqqSDJSPpMEQvZGZpgLEa
d39rfH/9PnYbmVYFbcld543tY1QAYYkGjU5I3Vpv+FKqRR3Z7Nxhgb/FqlTJIHl7EhX9MPTzdYCl
JHMiDx7JxX0HfPI+h+u606PBSKqj4gCXx+cGWzRR+FXSCgAzBqLp0Wdcn5uInGYpP3Y2PtueAjpV
Yq8W59Kva5doAkRj5BCqqaqAzELrm1FabJ/5SfDicy/C6NC68NVIp3ksrCsSw6bX3g2PVT/yQ+Sr
EwDcGh1g0Owi3R4D7j8PgojTPLY4sqV9xHMulx7ULGT2SuUjlEvpd0vFPMAbQ+PtyzOYmUlQBBkt
vFetJNA0C8ZT67Y9aTaZ1EBskoi1RM3Q9Zhao9UHTgp+aIUY7mTgx8ni9plpV7qLpuYFQjaZ8FFA
xS4xoTJV4gvq2ryoJeCBsiqx20d21OUGeMhAZAObjsRG5NhH4hjSot4H+F2SPnDXBMfimERQYms5
2kT10DiO/UE6QSYVJm0pR9ACtUOx07wxhePCJKsnQggmoV7zKDwz+Ivj+XcSjLDS8zM18uwP00m5
0N15w+McAg2zutkLp6iSFtKSpK3ozWym51IBcwMgedd4033Fl5eoMlfd2A+6ACtawfGbNEq+wBV3
8gw5rFo/jVFAkn5qSUKUcpO4NpdK93lIBrVrViB3bDDXYnDvq3atc7PQPGTdiU1Tm6x6+ub5xaeS
01tYD2/glLwDe4zxZNafi8IHX1jZD7VAY+31UZTDFvJJNyHk4gB7kpF1T0p4Z+N0Kp9rrBpYY9fq
xUVXcii9oAXguk32QsHUtc36/5Tw7yV8I8n+vIT/dCH07+v49tBf6jgipNG9gsLbHJ8u8fCjX7B7
3HcN2fcmYoXEEeQbGshfRnUPKZXbRI6rReDq+e7N/wW7RxxWHAHs933cCva9MfgbTSwoxJ80j9CG
4HwnsIeDZET6NdQiv+5hIbvW0dLG8mZqcuuHsAztvf/mnf/RCf/cKW+v4voM18ICDUCWNj6Dn+GA
vijr2re+vBmVLOtMRaTd3IdrlBYuq3LpwkutYAq6hDyCM6wTMq1tcYZtQz6QTtzXZbRnvigvCyHA
uqjjpzSa6qSmJUkJB5vImuM0i2s5x4duohdil3v4pq69VWczuLflwE9EVhA2YU5OJOnBvkOvmxST
v8JeEn+lBu40OPPww7GC+7WevpWQ9yaAvYIqGYophqoEjzehEycwzhfBaYGXeV8sJszGTTIlN/GU
mSx0VDBrwfrIvBfYfUIYu3z3E0y0OnEgAtyXpBJBLqYeejm19tWrUnTN1g2JOPB402nR75qt2Y1u
glWvZh9uci6DwRN73e3c6MWyPsjqnsFi6NjA31O1AIBMO1yrjkNj8ptxRYcFTeFt1DPniufvMHqo
pHLMdFZOu4+UV2bBVAxJLBjQDsjgDm7tVafpu6werweJvf9dbs++S+85RPgKAwPk+FSi/G0a/XgI
wtMM8OAj5I3e6xyib4og839EsYXAP1IVxP5Inlgg/BdzEaRk0fGzUpGbBK3X5c5EvIx1RqT1VC0p
FN3rcYby4yaepjAf8ZlfWsQnvGnBz2adgcsbAPFxD1sxa3B6wqKY8HpeHuw8nSTBoRorGj/wFXLn
UYoyi9ZY7FQHXYWpYBBQNAv78jVq/PmCr27Ogr60+TC2LNMMZ7epTXmCJV3kIWQc+3GsadrGhXej
xcxmQMR6H7jzYfHaMBOG6XveSZpHTnMt2xoYrgZ/Dc7IUz4EOROaoaA+IPuiyrhL7nS8PI4waD3z
2UTfFDEQj1RZsJjgmyqnzG90BjU1fSLOtOPBuHOYqvLYaXYVKocELZLooPuq9YibMYb3Va4vvXSy
wZ1PsWl2OEDQkto9atF1hczfjccD9Rm0yZB9DvNn4k/XvnF2NaqOCyH4MK1f2skmXH2Be5tmS1C7
e7PVy8qfP/pB+bm2gQfQt9KnEV5pWD7thTUMqBS7QnOVLVP1EfkEGVy86FejMEdnv+MsOkzEfjSF
znkDSKgnfeIWvEsofHpH6SNuApbQDHLbO7zHBx+1LzOl5Vk5FDr1ZlJehRdUqSjY/VhDPgSRwJkz
g8U80n3dQ9ZaFSFWWbOeY2wiAqqFxQPELNEl6tyLZ9SrY8e08sPHifF7SGEvIf49s/jSTPO9iMtT
zSCaKWQJA7wBGYCOXULyk05INtgA+ZvKqT6pin7CIH4qNWCpOjrJid6DNMvg4stUXV99T6Z93a9n
G4YHJH5A/y3WL30VHqAQzeIBGnqBZnu1ywma0vXYWzRUY6S+NmsB8Zdo62zldZv5xq32fdztC02d
B7s6/e6nkvQHRgn4i35/vkO1h3AXdJT4afSb812stNFrUJc3qq/Y1h2sOQjZKmuaub6MjQuUCyID
rsDvNZ19p12v7/u+Ik+RjdBfGvMwDfJCTJFVcfhKzLiHxuAb/JccbvxhyLkErxlsciSLNV1vLFnh
63SRUO95/cyyMBoPs1KfIamd0lLqFxaKPp/p6KaUVCqp23TpU22O8N6E6FzaPZXDnnnzXQ26GF3O
17VuHqdQnuA9Pltdn/qJXcJOXSLN4v0I/DHTa3lgRvipnss0KBy1E57cAzQOM030g7dONIWo8ERE
jH3tcnIpRooOcjDPsoQoJQ6AebCV3XqlbdM+gKLPlNV17uyN0PJYLf7eX8YyK+v+WLQVxIkRDB3N
ZvcfZe7z7gLHIFQuLWy99XIG7npAXRsS/JYWdU1DLTfcVrJ+ADTFk7md6yxonRKKQpIUA0YzV89Z
AyUlmDD57K0eBlNTvmH8PiPjYKNuOwwudgcj9teqJ3vaNX7i0Y+yWbPGDdIg9g4LziFXA3KLwwvp
EdPCY+drQQObwPYKRbA20JM19Oh021k2XkrI5xipdwT2V9gXqo9QtNFU6rXKPcFvXevTrN14Y6+T
4CORBPKiXPD5ZdkP1xp24uNfL1Xgdb9tRCBlgqIePjeooeLftAjSDshumRE8Ukxl5soTJoMfMCu8
in9sgAPx8dMr4CkBBYKHxx1N0GAhFRpg4s9NCJTurQ+ait/UASjU4LacykPZPQyLxErAZBvAzy/z
v35XiDf8L6+6ve+fkmOmrho7z3WcK1lbjIYMhAH+gqr4gXvoPUTcynSM/NegcI8zBDnpjJgI7IpF
pYSVKm0H+0E54aUcPZLCe7ur44V+joQXZg2Rz0HULBmv1nNYex+DArkNtHaDCaupVflkwzaPOqfP
aDdHadiu63GC8f2zauW482wDa3NZfqmxVnNENIgMJ/CabYNMOk/x4+TVdo/z8BkiKnYEjwEv3vhV
hvEBRelJD8MugHYrYb48uEQ4uSToUOqlbfernUjaN4GXDYsPVLI0D0y0WVuWc9q7PEj8eD1j0X/r
9QIkoSuPg+cc1sV7Mla+eqQ6+aMaEgQocQilADvIsQRCOfnHysozW2AyXguWuTUhKDAVTlnyOoPI
SErZXCNh9u2w5OBZsIJJXo0c8RBuB6tbEyWdlVE21MW16yNwQeGBKpBRETePIpBo4DrnaRqrLnFd
sO02HPfw7zUJndRbwPvrQJr7vmvSARBuoukJ87WTzL57CNsIJyKlz+0qDqYwBpqy6aYLUCNl5x+H
wXuPejKlBUiQ3vf2vPMu4VKn/2W5/bc1/htIevHQYjBAxVd5ae/4jbPrz/3LsrdH/xBcIpSe9Atb
4Iij1/bT8sOG9Kf7a7ss5w82WOi64PtgMt1kkz8vddqJqK0iz7l2mZ+0F5Z2O+DT9Oy8hjuSk+db
J728zrnUyfyGP+obUHjJqdwVN26XNP/lt/l14fux2134T3GTS4Axyt/25U/7biVL41EqxY0A/OPW
iCJ4HebDX3/cvz6zfv8av5E92aGZHCGgmVP9Ox8O8Xr/18//h+8BgC48hiA5oP//9XtoTGAdghCR
G+Xc9ZDzDT56zh8n1P/vql3o5/Bp/fn4jmSV8f33g/v2oF8Gd3gvYEDcbnQEucNY8DMAjxC8DfeG
SfHH6P5/g/uWhItARSQ7/ceW8cvgjit/YSVDaJ7vu5hOYu9vIfCbMfyn7Qb6CeA7SHxM1uACPMR1
/Xp1zJ3RiLgR7q02KA3WzMcFnUNGpeuCpux3ykUJHcb1NWTQtGrufRnc6DICGsr8LcVCGshCx0Gc
R0igkpa0V0eSIYks+nuj5xszBDrz4kGlSk2f17j9KEpoqJr6oUJ31a7jCQjGQ98Bopf9ChNFB0Py
QNmlbRASw53wWVexSuu4GZEvUTzDEPLqIzwHcKk1aWCaW5+7t3QJ8rhXpxC9VeVb92hnOC/h3orS
GQc5nG4wI3ffoBt+mBbun1qIC5Fu8DkqV9g27IuB0jipMJskQBKqJPCaNnO7IiUGKoGwEy8LnT5V
UL+kohIHNqk26XQI3ly4sD0DLk3Lzr2pmv5UV56bLMPwrZ8FTYyjAHjW0W3ZDCAWeH8r/bk7mWZE
KEQJ0D5sVIXci4GnMeHFjQ4UyYAY2wD0nP0Wsbm6mb3wiy3x4XZFI+4ZIicSoYd3AW3uVar66McO
MDzWrXvR6uhWl6aBFmvBtwbdYzLwkadVYxbE0AAuAaIa7OEFgb1rQGKHh3HtnnCX7m0nOSbysgYH
4kKUtCwqKRuX5xiJUZldU8NoUbK9FFt0nEUQWmCgkARKibyTgmbUrKDZPV3uPNIVO29x63xoRvjE
ldvkrSsv0Bef7Shvq5Yex5XbrGyib4WVQSLDxssdXbrZOq0yp0W47mFAqHMiBQqdRzFuDD3adAm5
lDTDtI8Z4kIaPiALDkE7D6Dio/3U+SKHk14eCCmKDFpSF45j17mvcWVf0li8094EQVJCgbqLuDOm
cl2iZFU4DR3E9yCPoypPPhDvPWfiaWX6bppImwsH/Kcau8+qhjOoFAEio/rYO3UxkFROt8hDu31E
JUM11L58bpFVlGj0ZId1Qr4jMxwDStHSWx8Wm0R0tkBmBwZQd3CmQ7RAMCAWDxxWOJVfYekPIZIO
i3zmjXMgo9xNfp0XRQuQHKklSRO3Q4J0qyYBpwBfilzQiHRNnQazDO4tNffSTA/B0lS5ZpKC02X1
DdLOxgMCcb6Nrf080lnsxo5O0InVw7VEuEnqGkBBQx8cg3UpLoETzvuoaL0H5kwvZaxGJyPjZCDI
ZYbSpJy6Lwt+q9A6FbA+WSc6Ev3eKdcn6ix0Z2AESskcn1q4KEFDrzSJ5wkyegBcHfLxEO7F87Jt
nZPjkUPpus8z0PkUAv4n2DdPoWzvllCnjhNetf+pCNl5UsH8AazW+xKMF+M5TtJCo5FFy7RcJmje
DnGMfrccIIfhFbkwvJroxHmevW89vLBQMtZXshCazHH4YiPk+JXSRpC0NF91iHA/ZH8dlVzvkZd6
gZ8JwXOb16ltIrWvSoqwo1nACLUqk8ywDCGbszm2GlKhULv+bl3xFdK+uZ0c/lib4hNR08fOw/EQ
kW7Owmo4lwt9M1UQgPfbmHWt+I5OFH4bF+GH3pDPUoMOtNDK1nq+Akx9nQKwbqHj3cUmjBLVhO0R
jjz8nyOB+K6q57Qb1XmS5IDMmDadkQ0hiepvwa4DRUQuWOKYOBvN8K4LYI/+XGaIbQs+Qrff+Llq
zbVl4xflhcd28j8gKsY/lg1gjMF+RsAdpAbKHPCm651gsLY11GZ1EN5ARbAXsXJAQyxpFcMmBkDs
4PQB2u4+k6zETFQu9whsvdRMg4gr689jFKOxdW8o7/aO1+854tvwnaampvi3/yaiskx1OX2DruEO
eZBjPqv1ODaeyKcQBl+vukfkloNaMKW1u57FWN83sZPRUjzVyBAVQXsIJwAhU1M+1SUkCwxSibbQ
YdIgLqRApGBZpxHB7KpjloKkfi+mFpIGN3LWvY6YjkBrVnXKg/aBlIAjvrcE//RGBJ3sn/dGyGac
9NsfNEd41E/NEXzxgJQ8ROLi0MIs8AurAWMqaAkShUCbvO/WpP9jNeJ/QXqFH0E64IN3+NmYCioE
ckEwJEjD+fvG1HBrjX9mHNAcIR4E486WqxNBKPHr5gjxGBy5Z4V3W9kuXI82UI37eRbuWNwiU8tt
GjQ7DjtExbZOJ/G4etxLqsDroFuf4EstgjJBxGmVT/EImNNvyIEsFc4t46I7mdUbXS0H1F6+2V4b
oDBCZ4MOznXDEWlWyDvZI0iKF2PeNdpL5ghhVtFqcWbG6KqgPSyAOlVwwjrNnIthrDMRjOep7eKE
huXrTIP70m33Qd2AGTFZO9t92UNGOZMGIKhU9xakpArUEQpsxPjUCjl9o4NeBPFaOE3tWyyH+yDo
yWHCSQ42kt0xMtbXybNqhwS7NmNFrRAe2X8DQvs2SUgdGwew+/q+GOZnqw+QznF5Vjft1TDvtWuB
4+J46w6eRmTo4AKTqjoqEldBV2ijeEjpbM6uLWXOBvs+RcVuUvOZxsuehvBHdUDzXJ0PyLhEdZtR
SboqHWb3fcTWrhaQrzFJ0KleWmx96yP5cuIFLEwh8FscD6B7WhizukODg8Mo+VTjIBnH9r4byFng
gEFkFoLX/OZ+xlc6bWcQMeXQ7kcY+3dR0J2o33xutQDSExYX1LgLYhBb+H+LNjhBYzvcU4P+5xOw
IM5y7Sre3gNMXrt9Q3HmcFKRD7BkxSoJ5uoLuC4Uy2EBeTR9gX14F7KYp0uEH5fT8o7ORwNMMzEI
J3MYV3HjtUWUw7qy7vpRfFscHHQyWj8GJH4arbmnM/3kDt2JKPuxnCXM9r5285B7X0tmTgvh66da
9FUCex7iaV04UuZhTnwCQtwf7pERdwiHyLkgtPVpLfG24KMDiMij28JoGPSEBcHsZ5MYUVCqIM5H
YLYHG36jUnlIPBxf5hFxd03nsaxG/GLFkfziOyXSVJFL21Efith5SB0lvvCqt2BsVruLFkhu5Mr3
zNEfEZJ0UNg2aRu1JkH8JPoFbaE7gA6WItrNLF4BENO5WwvnwzASWLddirojn/1CcIRXIn9IF2D9
kYaLsLZDHVYh9Bzq1EJ+nghEa049WA4RVN+0GG+7xnubNRqeGoqDapU3ESPnDj7nBH6Sc4sc0IS5
7pxK0PWDAEIvwWPse4OMtxGRBqAN6jeAFR9tqPKm9o9E848uwigerRPAXyMigNnMfw4d8WggIiLx
8qEXXnnsRHy0pj8XPOrOhdIfAvRWUAk+OkFwFG5068T6XpDgvfPsTdMMh0phbdoAvuCOtlOGGN2H
eUZvguRBPpX7QYo4rwygX+ye4JOe9VEwOT0U0SyQfFvv0P+fg1FX/5Q2+p21h5XtL0pb9l7/vxv4
0/9o9McD/6+6uf+CQx/OOfpvx+5P1c3DFI+7jFDz/i2U/6W6bcn4BEwbsmyhPiXfJan/EZ6Cxd8o
9iAA+w3lyt8Z/f3f1DYPonpgDDAUw6nr4SK8X9e2sZikrm3L7lp0eqQqwZpXqTuvP5bIX+B5vy6i
eCcMWnXIBWEuROi5/1tbH+KQKww+1XLn+9jBI9I3vdy306kpEfqiGK/AC4Zo50Z1G6/Tpa+655AN
CAuFRipdECqcVwOtzvPgxxncskgGX8cyQcbLJvIfPiy669ImEjjkt4ld6PqxwwumrKvvFAHgS8MW
MY4967MIIZqpi2ET02B07huTxsAq0hZ5lRnwfky5VbsrgnnHPH/MJsjsMw0avwu9VycK/5e981iO
HMmy6K/MD6ANwqG2CIRkRJAMam5gVAmthQP4+jnImqzOyq7qsdqXWVdvMpMqgo7n99177skVvevx
bT5HIitR2M07zBoXJR/PimKeu5h1iSqZgIHp78FrnmWQww9ztQd+zTNPDYfB15dDpB+6WyidGyn6
J9dpvvTQfg3z6aVZYm1pb/OEmuIbswmuLAiUG+IWO8sNmm0bNbxCTfNQWuEudkS4yqLoCoXovZBR
uhlytSLjjy0/K8fKV8BOeRnBoo3Wza8aqzpQC8m1cDANTxn83crwayt9hcD20LThqRzz3mPJf7Hr
fgv6Y0eSTUHbAJ0shcGSHPr5KtLNO2WCcZd3CN+2++p2JMogAPU1SIm2F6nHG8J3GNF4/ZItWbJv
zkT0QLXMkzIgveOhJOzDoKHBLdMl/NaJyUZGWrxJtewGXGqyYUO0nXNxCsMg9DpNbN2Bn20kwYsp
ljn4Ve2+wgtBKk0vZTFPvjG3j7GFPy4EnekZXXbXyn4Pam9gua1+qNRKeKGcHrM4NgFbz9f6iMGt
jZIBymfzqWX6py4zBohR25WZu8cBqzFNyC0a1G0OB320S+toG+z1rKz4mJPqObLbaJVb5T3P8cQX
tZ3uZG9sEV5WOigcrphAPHmLsQwQMlrjDKnfiqQMm83sKN20Mi18IZo6pjGLNB1i0g4QbOGrttxo
jlzuk814wO/CZmTSVmpAjksYn1J197GpbYaZWB9VC9XwmJrGcuuVmjp7Zrw8nkct9tOENTu5NA0B
qVtCi079xjR60VLly3F5mWqeMCXvRnSOAXhK2+Hwk34pU5Z7uYliI4ej0zDcKYgeZpxyxWQvukTh
5YuV2O16DKtTGKvBqq1GJuCFmtseK+wIQ9fupOyegcJjOMEYPiQqcOHylFr8yhpFyk7WvMoUZT9n
CFRRGEXreZyQEof405JAqhKZGJhgtAsY6+1Ydl8pcyocNW79VvUsmzU23H0kGnjG7Hss+21M1NfZ
hEgJILL1puw1E3eDhCHV94eqDL1MYU4q8JGwqEReEx0hN2MtDbEbdMh6WsS8NVfD1rDZaKkaCmA4
iNdCYAEZS+kHStOQUam2vVZcT6V8aUo2D/EkHinjcE6VAjb9fmGZhI5ogl2JsST7/47RXzaAnKI8
LgSDnAnBATLoL2uRtm0NEUzWdCNh93liGxzGu/K0TzpPeSueqnW657btBVfMUr2fbI39Tw+4m9/u
PD9zPxcZ+N83oeUQ59O7Ns8d5FgT7eGPTwtsNOyorH6+Gey3Kti7aue546tS/n/gzz/7PLqqoYvr
S23MdyzoTwsXt+OZFUMvvtHiI80hWKi+3HBP4MD779/PH59+v30//Dx5BmoU0bAy/uP3U5OYNXuN
rY5lXjUWASUylOLpv38O8Wev2c/fzC+fpI9UtdWJLt0Mm/YRb+962Kmfjr+Yp0857zHv0qzRkDf6
7uHs+Jl3Hk7x5rFdB+vb5CC9HSSeY+fzF/1yw3/rx//+9enLNvzXF3UBddgGnjri/798fRkNDFxK
VO0Gof0c3LJdO2lP4YHSArKl/uQdXrTtuDrXG7kzzVV+xTXtFgVyQ9zst5XjPxqJ4Gf61xrJXfdW
xG321rf/qZMs//L3SVKlKM2CqmLqPxCCv+skJJj4I1045DF/JTcwLGLvxOHB4olz42dyA6MnoSPG
z6Uzla3P33B/whH7wxtpCWpiDOJLWFqyAROrv7yRFEcx0mbMyut+ojHiBBkQlybAiERfd12e3dhx
PaAMZObZrOqbPnI+RBjJdaPn94OW4YLW8mOtNy/ZVB6ytrgwGWKH1EvPSIITsuepGumCKWyUeYMU
OtinY6TKpzkpvtwYXa8cdPofUqu8NcN5o+UC5sGceX0QEYEQPRHrLjkRPlr8j7gJjKHQ3nWFpxOu
tGwjw8HR9qptNPFBT60u3AKagRjB7R79Jq8MVhSBorJetoZqb8d2vq1t92BlzizujaBD/Q1yybHr
fo8vN0uSOVkyzf33ePPwW9SZ0LP9Pf6cfY9CY4NUfLd1mmSXFuRJ1nUTqvUaMgDmnkyO771FRktm
xZPNSbXqIrl1BrfZVrHFAVySTZE1Wr+TyY3Rl6c4UOuV3naCZEu8rmf8VJFrrMtgeNDV4FFp5n1n
K5fBzlfFIPdiKvxBQUqX5rU7WMBjK2sBKVyY1d4qpcR9ZCssPfoT4ygeeKXCfUlEpHG1y9Are0vT
10VQn4GEfdNZgeWK3GlxdwCAvwuD+ghF55zr4xnK17s6tRc3ynZ6Yj2k7uBH2CUCLby2oqH1ANLe
ZdWM6yn2s0rdSrO9NJ3jG6PcJ5Z4ym2LazPBCqc9ZAnjopMDX0vcb4VWrkUG4EL2a1k6WwEDTSvb
UxC3Ny5os4aZ3u4dv1K0dWFH57nMrykQ8lxzpnRJQEbTn2ZZngY98dj2nXktV1UiNzRrnZOgPLcG
kQvEfTbAh8RMtpgwXvGobJy4O1VG9x6WDgAJXvrQdu9FQ8NVrm0dazxqQ9t5vauee52akjo5N5Z+
W0/EY2blwYyMfQYMjGKc0sccuG81ugpwc7hB/eWKdjUU2ZOdRA+lGl26SNkElXk0hLPR+/ysJkOG
Sw4uiBjfB76IFXB5n3UaJIb54NigMKLuGNraRonHK4KtewBKgDKm5qux9cvgjpdmwncWhIN5a5vN
NrZkdEbePE3Q266bTE326OCQgmK9BNhIt9fkmWN9zfB+lBpvqZ5qiAwwLe42WflV635O4XhWx9wX
uXG04/B2rDvLHytgSFlm+0Zdv3a4TJXGsHD6BduxHqaNYgSvc5OdpDtGQPH7e3S7taEYRCJE1671
ksoOLUXxMXJhr5SoGVfVoBRrPdJOgRAX0cSISAKOSDLyiqNz3SSVsm0F3T5DUu6qKCW/1drJph61
U5f02zQgm4yohne4X/Pu4NVaYiFu397U1FusCtGSk4QDE00t4mt8LYL0aNTKVjPkOrfqc6XjYZN1
/lGJnBdjVnxdQsNOAhSquLNuzczZl9QL+EyGBvkPkiDglsmTJP2qVHV3pUcA9JK4OuYxODXm1lWu
l8+dzbJ40rmaKfl87jXjxH3g0zJq1igOrOmqML0xjkivJcPFKvTHzrUOikl2R+kzeHlFBVxDnkxX
m7xBcALkSlat3AqJSK+DHs5MVW+SfjqWtYYx3YivMf89DBa4wyga70PL5P1OT1LBMnRw0uuAoh1w
IMwmBhZCF8rzyo0j1xOmIo9zaWRXEXf4f579/yciMW/99bN/nf2PXzYkOP/z0b9MvT8e/TAalnQw
Tx8e80u84ycRiSAy4xuwBd0iQLnENH8EP9x/oR8JOHE6jSWITPzRD//IwnPSiRybpCng/aB0/Y1H
P0HS/3j0L9kPljjCYI7m4/4ySIcBCQHOvGs6Ph7lEuEayHIpyF6enbTNDd1gBL24KD+bouLEMrPa
40lkY7/Gv9EqQ3GYQ3wfVCE2XHPFE3QW229QtVcVBOTNLLBK5EuLD4JIs+pEX67rwMUBuETTEjJq
tB/B8xydCDHYfnDJsXGjLDYWR4xnk3HjMhDuGlJvXTw+BRJhdkiqu6aMyA4qsbvT1PCjIDM3GuoV
PoAzRy9RqSVWpzaJtiEIQIkAmbtMxttpCeGVpPEA+7wEnX7orKqlXam/UwcmibCmuaqXxAAwR7xb
MEJ33RL0a2hy2rjl+GWV1hco+MTHHtD7LflAdzSeC70sDlXPIEQf5ps+RLfREirky/xwi/yaBITn
GMNyFFpl+Tgilq+5djClQD4wwRyw7cV8zVY0AEIzm/mXlWnrcUEilFm1FUAS7EZepJWGO4CfDtsE
kyolOc9+EivWulfGazuShhcDXogBMAwLiQEgR4m9wSm9ooLTkABsICaxN6zule4gylMWpkMP3GFe
KA+OOj06PKCdm7GFWFd148wum+uwe4yU6ht5CJOc2ZCs26SnbGvkwSnmbNzmMb7IOk7cfVVP0a2R
6g/sdQn80Qi2050IYHRqvMyq7VW557r9fW9l4ZmNTXWY1byhCUZJd5VZrmWiXjSQQQgMDucl7Cgv
VePHhSmFRaF3PAOXtW+EFMZVVjX6ZknRnaKUN3jPA89q2T9YFC8oRG1lQky2RxTNrIPoC37EkFyD
ZHyqzPjTNvJjoACzL7S6xujT5UxH/ZvAIM+awHhR9OwVaQ0MSGhvJ1eUDGTJTlchUtn0MBDtIZVh
FAR1nc1ErGNMbKK66dEKbNoGif4zpNzhu/2mZqWzpuDN8ixzYtufUog1KMmHZinPhKSAaY2XjOf9
NCj3gMpeO67KCIQu6UHlqh6bs2oED2ORXE0y59UK9McwZ+MTNcF9MNpXPJbJsOohrQYVmlXquOdC
Fy+BLR8sVZu9LMwSkpvIabSavbfCvcgmOYdVs9ED5hfHHq6lJi7GxPeSB/Ft02p72JUrLgmHkHhx
b8mrSjHfw6l7XKTKsDBxMpnXUTzvjCb3KiyJIFmnZ7N3nG0SKrmXQo5eccwBPagBftPTNXoBTW2r
IW6emzY/GO5wSg19H6nzY19gDRqoQsIKLPdVYy79i4tJSskuOIneKfTDdpBmjTdbxL54Nq/xBjjr
oCsZMSKca3Tn7GbBcz2p8oQ+rWo1tgRQdaxSy4nLKcWImRIhKHvURx3S5KYfpttQJXqrsTJT+RFw
Jt0ak3VKevfDtNhjVrb1oFviZIg6WRk9zpdhqgDQLkdcE80AVtQ73S02mc1TXa/a3Guxrbmame1y
UFzUnoBWyzvc+Lzf+jm801TxbudsLcnFnEBeBtswVJQN2v1F48aCZSvVaMKy33Vq1tZakYFnsSq6
HChEy2NdLPvBTYq7ounm4C6p52QFYfy+iIfC61kSf1SRcraodFqDaoQBEz/JaLhu3GiXm863Gflr
3UGbw7akYiOrK0an1iS9hmaeP+X488LTrIeT11kDA7lmXplOc+8uidJmyZZShvnKPOdCeRsMwJ7z
c8Ac6tlEUq1OqVdz39yIODtHhFYNwqsjIVZtSbMaRXPIZn2dwpJY9515S3j11Lvk36wlC5sQinUI
x6qMlhjdyMuakgEV0ti9QZSW69CBUrXHZMnYpiCL+GrmZ3eJ39bTY27K20omN7wf+CEQ1M0J7M4m
fKtuMcANarEFONgjXnZ3BTFfzWoPlDNeCXV8KHQGaOLAFjGnyhUFnGR+q5fEsJ2Bgp+WFDHXRh2D
EcniQmXM5Iz1mcR2BeHjZkkh28SRw8SCprMklM0lq0xgmdRyleznJcespBSpfU82LxlnTJL6HmtT
7LtLArpcstCpSnYEFqe2ZDxYG7O//D6M/KPILOGmv57KljoIP/4K/2QqW/7h71OZ9S/V0VjTMX5h
QFkytz8EGZK6Jr4U4icmxBkmtn9PZewD+etYXXBjQ7/Duvv7VLaUXguEFdCXSxr3bzZBGH/0lPMl
8cF0wzEMRjKXwOby5z/JqDFVCngUqIbF+5tHK6x/FBiu8JSly9pN0v6qDbPN7h+zpj5CUSdw2SMq
hFERHol8229pVKwMivUQJV4TO9O0G6m16PcJ5xmbnqFwr/Oymw+h0Wfxvu4m/R6HsWLutVaFQu66
SnedB0YALc6CtYCrNtHuYtvNxBUdEFnLZBNa8tQYHN23+Be3g1VkXwEAKb8s4h7zBR2ayVZNHG3j
1k48XLp66vYCWxkzDsWu85rSm/51FgRbPbuO1Cu9d4Orpq7xPRRsxNbR6NarpgaG3atTfGV2dAsH
AcZkUraBiyhXLFebOpDzFkzKvEqLqL9hw/VGtubVTsMPBAistMLNV5VlflUdgxXhUPB8eS0+iXJh
KitWeh3yyzqr5qZLlf5VWgRTBl3F0yYx6FDaTTKo46R50hTY5S533Y8xtoZdaxQ8yZQgOioYj3ep
1tjUJffjfq6qeivMocTXMncAFumIMp2KRVJD2NIdghMvLps+Gh4JzgS+0+VXTo9HmrIZm6u8Oe9T
QSqZQHKGESLaor7l+IB1bnWTk9B0yvFqM3pUjvvliEhBWJp3mGSvjSS2tlMAnF5pF306aOAqC6qZ
InhDzIuE08gJE49lPmY32+FcOadQy1ZEdtilgm73G9M21wnxsGs1TNM7RZrGhfBz8ZWoojnkdUxR
6SDovI7rz4J58J8Sm/+7S3KM/PWptcHF+WflNYsQ+/uRBZyPuL+Dg+BXggCQIBd3CXdFS+VvmMi7
Py6SHGaOiZ2O1CeGg+93zB8XSROuOOgZG34WK36A5H/nImn/p9fORaOmAwudivPT/K4x/3RkpTnv
wLEL7DNeo0PY1UNx6qQ+WaskH6qKyta4n7eObFsKePNwfCzdBYldugU+X4LaL6PR3tE5O/lRS/5N
dv0WfL7P5hAxSSWdXWqZ5ZVu8k6NX8x4YcZrSlfIgFEHSRSjY7OrvJBIvBA8eJJ9qaW3Hc7/O0zh
O1eOAIQC/KfMH6EaK+c0KBzp1UONyV0JX6aqi26CIIqtmyib7BuzcFgPC/xoxNRhBZe+GeRqcW9R
fLwJmK7kuiX+31GJ0kbxY8/1gVLpVD6luhsRs0jLHbJPMnFxaE405B5kb17MUEw4Z4tHdc7ue4F3
uIyqD32BD1tRT7MDEPWGKClNIO/R0hTaKOJs9To84fGxj2JzZXCNVQbFV3IGl3Bh7oqq0oi4Swzr
hS3WmoieQLw6bLZTKKjmXerI64TsmT8p8Sckifu8F1+qIPnc5vxQTKe7tQ2CbnR21zvJx/f0sEpf
J4Nq01TGO3Vmq1wv5oA8c+7rTNM3ZZEWcFM71PhE30VwC4thaHx6rfZGZEAXz0l30BE7A7hJUf2S
mkJjdToYlX4boIOuZiOCSCz0XZmyGtcdYv/uNOr7iXI9Dx7Ap1q6vtO3OQ3PZgDPtt3mhfsWRuUV
y5ArlF3OHwcPuTG7d3aAldqlmHUMlE/TnTeZOu6BI57DBrc9KRK/amZrlxdLP0NQfetKdslWLFOv
V/IPGblk9Kbimbd0hx1ssHfWIljw9roVWt155LXPnZko3HaDGyqrWVCAswkj7RJUCls27gEwFhpz
RS6kXZImyOPlc5+Q+y3D7tDxCnZtvwHfHm9Hk6WEpdblei7EPh+m67E2n7S2O7tdfJ90rEhitX3M
w+gS0WDrV2q/1UJLQUjvDG+ImstkB/fY4G/nuudXRON5BFo+9NyYwKbWBDd9MO+mLFDoGFE+mlqJ
fFVU6XYyGa1nzc1WsgfhH5otnSNkEinsnQ9lZV8ndC5vSseUq6ovjBWp8I7YhjyChP4Eg3+Iewc+
RBufrKSiioREMuB4bau6lLBOWF01fgF8oSVvjVrJzeR2124jngclUlf8qg9eMuUolr3xLZ94BALD
u/Rztep6G4sncrVtj+TEC2LSXcq+Q87FThG8O4EGSMpY4q9s0mdGevvZlOadjutiP5QpPplG3yNu
GT4tVsdoIEZjQcZZqbkQG1kn13FogQZNL3k2nNlXKdhUbOBiSbqOc/dGD4t6Y2WoILKSeGmacfLq
wrqXGsUuaqN+C3TxqhrZB1CTfS0Nbidhhwqi6F+iVR5bIrCrPM8fc8oR17rb300TfILYyl/KSVyZ
SjmZZKrpDBYHW4zWrZE4lY3XVp1WU1S/GxKMgG6CYVjYXb1Znyxl7NZziiY0zO+Nob/UTKk7V8VJ
Wbn2zdwPBcNCBBu6IQZj4f/0KEj4AP/Tsv3q7qKiwydfqdluUsvJ6+004aw1XitL3HU544akRnZD
V5T0KcZKiKRWBTQo9TyAzlzjQ/ka5sn1C5P7cKIP/hCU9i5NCxeQqshQ22uMrCo6E2mXD8xA+Upr
IYmqgTTP8WjGVN7VIyYt9iaGXl9kwbVrcoCUa5QZp3Ex8jrFAK+MyY/NBNpJElWn3Jb7KQ9e84K0
bM5WYM38HXqjwbu1apIPC5ghyalkXpsFiAJhTDuraOp9WYlNSjLdj2wr2zgOchXn4bwtkvq1ccxN
0SgkFYJtidBwGynUxVMYCLSllaqH6cndjEqBiRd43S3CfLWxa21P498xYQuy6fLE2aLuAWUjebcK
WKQcor5fYvfJJqo646CzVVxRY0YPzBgWu6go5odZ5rw2clI2JsB5T0GS8EIy857ZDXs6rPELaQ6u
WZMa5cw9BO58pcRzTok3qkyQAknPlwnevnMU2zrOLfpU1IN3R7W4qfrovtCxSqWUpm3gncVeHynN
KjG6D6sGO0DM2tmODmPdpHFVgMFF6DaLbroYh2Awq35axsO2quYr3O9HKG4+Dt4beCXp2khqFSM4
ImFsN2fazT4ciPxZGzAm2i7imqWYIPBMkFnOtA6sEKPMXOOIU+Wj1qdvZarcZE18l4JsI66uWuuk
0SyvEdVXhrk4zFWx6aBY+k0s+JDkrHyZqS9VjGY09GT93R5avKYOvqybAHREelU4WO2TMQkf6yiD
vBa8WEhAVMylazvLvxFMezENBaJud66++7e6/CNglb6mVT6lCz577EsHdyJRc09XlNtZrVRfyeKT
RuMR0cP0KmuYRATPVFMZOMA07WsEv2n3wdEJpnxLBP6AJ9z161TxErN4yqfmPBY6+fMpZxqn9J4X
9FC32pWZ5Z9K5XyTI6KXhe5b1MouaJMv7Iqbti+7bWtX67biT2WpPKqJepzDq5yYedPbwNPTN7dP
3qnOXrZkKgkee0+0cHnXOOGqtZrD3Er0ppSXJ0dfTBCsx5n3cxzoiHm6+DJUSGMYN+/iJOQvc4AP
OZmZJtO4HpaoyPzabZncXpnA9vFIJQuTDi476zCblMj1VXxt1Y4XuPJJM/jgLOsp0EquUrT2rZF3
LPvB8dkBfnJA5qqdA3MvHjWDBx6XwK0ZaXRUOcaZ3ddDIyUiWgtPV8EpUMXukWYWfJ+UDPQKRnkb
/gs+xnxLPgk1TU/WliZzD00E9jnU4w2hShTreSklbBBSh5pvzSlIRzB3AhaKKagylumh2dtGdJBT
8i3SzHgTSud60pJtOW9bF9OAs21YkWvjEajFfZQNmFSFyFcoAtskGWAl2gwyxvxuOHJjyfDdseKj
0Hv2koEa8WLVb+D8yI3pkjr3Sh2aK3597sOJZQB3wUetsvEiULLVNmtnZ4Rsx0lyDl3qB45R3RZW
kwPVK1jQrmNhaspTBP0EAhFtWM0Bl6LMUevl4AwbqhSV6Xbi1SlUM1Z8EeB3C2dbQi5y00MJ0dAb
KTT2UMq2sxsiQ5bKRrETMiqpIjexKH2Rp70fDOUzWal5XTgD7aNTqNE3nzwYTXEnhTVu8J99q5Pm
ScTU6eQMXkoQdxvXdPeRLd6o07kZYxdrvU0gI4q7fMXc1a7SFAyJKQfNU5BzeZxMzIUqDzbulRav
3/LaMZv3LtkINzrWDUTqrBL+2NnnoYuv3d4+omG4XtEmb5o7+a0rjrQBMd2U1TvPFjb6WcbV3Xlo
41gcul79moOh2M6JSp3F4OzE0N9Q+EE3UEQIgauEx1wjfSsoPhuZ7wzKb1bEWOdN3VpHUWcXPR0o
Fqebw8xLuePcPbpUMduTycOOdOiuB9bA841PCJZyxVW7heGA0bSdqbescAroTLuulr6mdbwS0XVa
UecGpEOOxt5syIy6znBW6PVisYJGYiafJJG5bWs0nEyk9EP1DNhikxXDWejXFgsGZa79plHCw6CW
T6kM910Uv3R291C5JcbGWV3TSz9a9h0+zhVz73mq9de4ouenhWJj5OF+nux5n/TZK1/gQ7QIkjaz
4DrqKgrTcuVV5OXwlM/gsco6uRqjFBwOq3QKyuaTHCYaJiztuRpUnJbpLVzht7Ry4DzidMgn9yUz
S9rpo6dcsrn5R4b8LWHAJfuvL/Tb7Kso/mQxzD/6cZ/XtX85MGgWfgDxuO838x8SJNm5hX7D/7D4
62iB/77Ps01WaQP7fTP8kwTp4jHT+Vj8H57IxS72NxbDmvWrBGmCK2TDzMd0qHH/7j77WYIsptbW
x95xr/W8IZFqanNFmeKShzIUkEBrM8rb4JVNS3NLGSPpqXwJUs0kqqzEPTaFm/K4SN9T1iMTw8Kg
d+FmEgI9HBDHuGTH5n0xGvW6H9xbrqnfyLDGK/JLPA71rULANGxj7ir1ViV46hBAhcqyU+Ls3WxI
PNtJeQwTeZsumVWrayCcWTtbhdDOdRf7g1yRe1ZQ8actKYqzzgQU6yRh5ZKJRU/cTUtKtlC094TY
LL4W8CyO/Uzsdz838oPz8ESaLTOX6Lb14oK17ZYcLqvKL4iFfrokdJMlq0uGp74GtrLBxIyaOGi7
mmDvsCR85ZL1TQ2lIf5H/lc1HL5bCi/9tpyfUAxOzpIYlkt2uFlSxDqSQCTI6Bt9uGmWpLHWhPY6
IXzsEEJmsz749ZJLptnsJSeoTHclU395PS4JZiUPzE2+pJqhOOzlknP+bq7T8IP7qhQDKWTy0NWS
jObumwOMcjF8T7e5me5b2oc8MkefUz44nrokrJsyYCWMh9oIpzfykBBqNe1bpysHjXi27KZjsuS1
gyW5PXzPcC9p7nLJdU9Lwnsk6j0T+c6VQj7zel515uucWydBBwPuIqLCyQHu7J1csuMNscrWxzZd
o6fqUOnWRbxwf6osKyO6TrrUpUMlNO191jqCE3+ItrHjYKInaumeUK6jg52WwxYccLnn51Kpa6FC
D6aQwL0LSE27q2zSRha3JXLAYE5ii3ItMj/rx3CrTWWE24Dq5KMN9fHJKS1nB8lZff7nOPx+HGp4
p//6OCReCl3hs/vPE3H5d7+fiMa/FgVzyf9aUP5/XsrogswwaxW0PYpw4a38fiJC818Q6MSJDdzm
bHLY8vzIW8FOVzVdEF76oYv+jRPxV6OMAMXq0EOg0ekIiv1XA3/Xk5C3S1Pe9OohpNN2upTt9qcf
yp+Y9H8Lbf3R0a2CYRUuEHKwr3y/f9z7aGxDkyRtqxtDEm1qMW61hBkiQy/AbqlNze9/aY3p7VzG
lnOOosh+5oTQ01tHNadVpOajTuFpBUmv3NfReIyDbI1tbD3HOMz62VhNU3YT4FzNSmU/tS7R//Ku
U9kLTZG2nmv7MsbtjlJCymDzcVPEneaboj4oFU0eTvqeTembApyjr6o9kIJnNgCM83F0HWL8c/Rs
b0dt7Wlj8427zbbKYgmhVNjbuBY9Hjkt8zpT7uqBGROY3wOA69poV3x7z6Gl7lUwaB7GxQO9KV90
GUBmHTHETvlXUAF3d/IKYLs6ghRpmw3ZVgB+tvSdYlkhS9Yjla2+j21xMISSI24VmJPDQ6DrD83I
b7ced09pPrWYBOVHa4nDJJpiUyfVqYhG6bu1bVDfG5iroGzumhhMhy1AmgM9PeUh5qauNW4zSb4X
0uizkhjU0Nrjmuc3KA+9+5bYNM5Qwl2yzCoJ5YkrWzaCvXkde1laJztLhdqCdhCuxqQv1nGl40PA
tYeGOz9peYl6inBa9srFlAqmDD27l7lL7ZSTvig1qxxdVnuXruRz1klsfkp6aFlJeapWC09zwmPY
fRhJuXFxB7Ij1FdirLmh4UAOZsA3Qe0gOIXaoXH6xu8Gezvb5kcVY5eQU3PV2+LDafPIp2X9m5Mz
PofCmf26c+9xRX0TsVypdfwV14iEWpvsIh2qqDY6qzLMb7Bvv2tJAu5WIAuTwttncYoiOHSb2Fks
VQbhGtF2ci0U1V2ZRX+DFeABbCyUkKwjMhs1i3Z9F45d7Zd22K+KAMOHAOYw8AScl9PZdZI7nTAv
JgquRO7wlKpM7PFkfUsS99XUwEhGkjiQMab0X2EdPxV51qxCXJsrzpWHcKrvCmFWoN2N6zCz4beW
keTNOr4OSca7R9b0n0l+HrY9v6RWQDSM5/eASV3AJ9oMjfqQhhn3FJq5RmUpDA079CvlW6c4L0Bm
cAGk0co2NLYSY4A9BcCKVWKhN6Z0X+lLqEiKpg52FT8Nl3RifW+GcvaYK3iXu1n6kKqGuzfnMbmx
DHlf1zrPoOqLXo59nFaAjsvqU+tqZGlEKkwVqGmphBfQxODyROdnVpChGDwW7nrcTtGUHHNaA2JF
uTR94i6TRsZ6NsgJ3w+06in2WPqNW5WrNjNND0lnFRoVgS3jJGAdMIvR0gPHpeJ3c+lwO7el/Rw5
5lesjrXHsVajimubHMvqEEHyc8TbghZmsUpBXv8S9tj4OXMuTaGtKW64lJqxlyBO4a34lhI+4tV/
aR2TzY565Up6TWznZqJsZ267zYzADb/8k8taxp008dO2S9dgRFZpDWmlbTAPo/I11XC2CW83dZqx
Dph9tiSSLRHX9MRR0GqV66lrHvPYTdeB/r/snUtT3Ni6pv9KR89VoaW7Ivr0IO+ZkCQYsMETBWBY
ut+lJenX9yO8qTKUy3Uq4gx6ULsm2+VKBGRq6bu87/M2zw1UeqMavmjNs93xSewdd2Na8IuWAW5x
FGqBoohFcatpa70f3c8upN5tVdXGMpak+7HHbUt2puZdVlgkx02g3ftcEnsdz4LrpLDKcZEBsNq2
Y1EvvZS6zDOzz0nVbOpW3SmVfm4q7R7pm3mld/Z0yQOv2tRp9VAZYh/W5rch8E7VBJs+9eVMsEE4
ycxvhQPDQ46cRptsylCsZ954lFl4HUn5yLZBm7fV6VlNo0ixCVY1yJkzW214nxu8iyq8iaIiXvmm
duj65q4TxcSY0cw2wewPLPn+IOPw7Fn6CWcA4VfOqiGt5qS1nnbjxIxsx9FXa1mDxOcub74EftOt
rNbNdtzN3qpK25Xl9P2uF63aMpkqwGsU41bleki1B9BCtkzsGcHZO0Vi+o5a9tJO2k+NFc7N6Zat
MgWqFpDHwA5pcsQNpfZdLYZradfOHu/uXeEroqbkFFz8+rFL8fDBRqVjmUQL4tDruKSlvn/oOmlX
AjOvusvCI+JOnGLvxuG7tukW4r/zlL2vIihT5k4PiJ+Y/TssX+eu64ctadMUpFEhPb/0gnWQfK7G
Taj9jS3s7y4x//0Pl4BXkqaqS9VlyY1JMMgi7L9a5fWvf2c/vYhPo+lSW5F89OEiTUjifJwrdWnW
N1VxPmjEFex/fYk/vy38qn64xGw1/OHnaJngSmEN6tLyrrNqM2VQVNQpdx/i8W+uxFb9wwfg/ZXm
7+SHK6Vhb2cO+ZWX1TgtRM6qyjh0GYOTdZ8dpuw/SV9/aan/s0dSAPQnMdbUUQyx0X9/uVbGw1S3
QtEB3YkWMZ1zI8OzMfu31/iupRDcNH/da5xFufyJHW9+0VujgSafpsAm4RBG6SuC8Xf1F1IK4gkY
e+CuY+bBx/pNSeHg0+N/UDiRwX6PGvtDSQGyGN6DwbjGRcr/jyYv7nzc/NEDoDDzkX0h80BKBicC
Xf77j4cIzBZjuGtfkGdq1rcICqDvLPMxEyuiAjuU9wwMIiBjiXlX0g0wIFHpla6ZIAjNNGPLMiBt
al09YIDqOU21z4p6Wo1uj6q5sxuUtA2JYgD+GNUXaTElVwWSiRLpBArYr4MyyDs0zYvRyauVNess
Jndg512Fj4VLL27Magz6o5CIXG05INSgbE/wwyTjSiHiCEVwV77KOogfYmOVvso9EoJGl9msAent
mg0waa3u4CyLbmzzo6WNEMjQWUdWFCBQThUxt1AfgrwvHw0CXSVwvGXrZMFSlPmmGahGiyzeQb/f
oURqkVbljzqel22KonjFfuE2ktqTcSzz8VhYqLSR1FAKTxQVaXAjKu8qK/S1P/bbeLoSrXOr+uaL
45Hhym7RP75+/v6VYgrMLH99I4KKf66jh/QnTT+v+/1epLPnPgMv8n3UyW36NgYVzm8C+IrLU9lE
qGTxqrebkUkBNwkSTgCrjAMc7qG3m9H4zcEc4yHro11n6fmPZE0/QeebDEINEtYoD+b+/8MDG0x9
nQ9aNR4HE6nNRiQgz46lC6rkRZ9gidPzkEVFmW0ii5h2hZMkKqdvjSklHCv5FBgsKzwU2Lta9O64
MB3jSepsVgo/eICLco3XLLscE9gY1eQYG0zCksZTb46F47yEpUfpmxmwp3PQnOygwUE1ZE23jnLR
MQr7fGJhsNfytKXvZlkPtN5BuhTHsr4ogaxR1vnnCEiSM1TN+aop1biBxFIu2irB4QFzZAniBEkM
8q0Lqx8PiR2de0UbnOF0SzaJ5rPaYMqLzdFwgIsS97YZfJcVf0s9XNFsLUXizlGnlKaVR5aDbmn3
KWVU6Qz5wQ27G+GEOl0HiyoWYuVS+qN2UcfOE/GGeEcKV2wLO36Z4vgrWy8U9VYvsr0K4HOVVjze
suwNUGeERwmOa9+F8XMrJ+Oe/hMhDNKsTe+k1cptUqwAjPEAXvm5f4a1QKwdpWsHqxz0czvK222E
OHQh6845r133yiP1+pqmbK/C8UYriXoqrNza6l5x5Tps7UG2ANjikKZPZJwyJSwgLV0xLB4T7VyE
Hc6RsQ7t+76UKI50Mzlrg1G0W8CfI/3qVNdOfQp573rUs9FxFDTPC02KAMVMzFfyl96ssi09v0J2
9Sq+LWcdrmbMklzQsdOhnnW60atkt5g8NoPEWpnByWdJyJIu8V964SfnBnopIbPp2uopmFf/nl6v
I8s5g+mvT6/rIi+yhz+fXfOr3s4u9jTUCfOeBI0l6kpOobezy0ArbhIz4Bg8wfEn/FBIeOx98Nr7
lissk3xmvuDb2eUBlAbPgejbIQBB/2crHGAY7yoJmg0miWyXDCSjnok+9EMlgQUXuh56g5NhsupE
lYJD1iQX4KnGhtBboJH0LEh2WgD/OBb+56AFNxbUYbWiznnE+H/tZsrngW+ssFGTUlFGj52m75u+
Ok+0eAbt1VBbmUoCXWo3iSm+MhKT24YO5yyrqj0KGljD0Qmx4D4L/WNDdpKoG5/k87ha9uPEsKwh
5A5a4KS0lWu2q1Y5oKa16TIhmWjJAPGTYbb3fuQy80/yK249sSjA82shJuKgh+NSRaz/A6CL8V0a
jV8VeYasq+JPTc2KpmYEJjIyKXVUiPFEKAF7/aNeWrORyWJ2hpzdLi/6vDvzmuBb6ZNtYThf0a0m
V8zPmILlwVHRR6Pk0e5Vba8BjoqHekRgpQALTU39mb3SN4npe6FKs0KGmt6SD/UN4Ao/SEpMQuId
x1TCEOJnCPTkCKrmoYmLZtMHSbRWI7v20KjsbW4H+wDO0KL2stuxDE5Np77SmOCAcY3zwau2rcWQ
y8/IzoZ4QOSf3FaBfUqMknBpApY6JfTlOPmfY8ffdMqmgwm3euv1y8aLr3J0OPjTkUQ007lqPAJm
g/IuCm30IgaO5cqnH21GXNxJe2dP6kw5FXDsJnspvPoIC02eh4m88NEmrvIWLnADLVK0xq4JcJk1
lbwx0npPUBe6erf1D8rpCNlxwm+5dK9lMG7JdxrWWZEdxsIQi87UngerPJscvJ5x+4V/t8sLrJJW
T7hdQVL3IozbS3QD6TnpRjfOOZJepoButnK4n1ahGYQQApqXTIA/dOut01chmsJabvgP8eJV67Lg
jNaTvsdo1lyz79vGdnJvjWKLjoJZrGefvar42qKwVnmeXXVxCJmxSTZWO6VLdAjrMUTEBYXDWyZT
fWRIRw5TBs/TGM2tIYuzxLbI4phFjX59ZSXqEIfYhsJ6vEAkvNWt4KydUJYyLXTHJ4he9RdUeuYq
lH7mASnM3U9GyWoDQx465Cu99KtPzSixUwhsQa2p8wCm5O6M4CWRw3Ngg08Li5QNX+Ue3Hz4jD7o
sU26alEWPLakv9XC5EqU6d4j4WpJWbUqBxeVmNuTW6ODDrPbC0HIFz9cua5cd44AjndFO1jrMLBw
zqXutIyBhi0JvFi1xUC45/gwOAYP+OGrB71S98db3mjSjmJWCJF2nlfhFsf+Pp+hmJjZZJyufC3Y
kUtDblWOls9Db2NNCIDbL6KqUciOcmWwXugJz6FuiiEPVAnaT3K9BnerfAdoR8Yb8rmloh+HbtN5
Ck1Tt480gGLgNlYjSVlh5N9lbEsWTR2e9yWwt6mK0PVlDnmOCUjpSr8wW/+pUTzUIXaNAzKsxEKM
VI5Hq4v3CvMKY3a9JktE8d7O2s5u1zX1U1f3p3jwVk1s3eiRZC441uwyXeLO7XxtJdyFOt5W8AT+
XBFe213wXDkNn84+27e+xNnh9jscpMNSq6C0m0im9Kk/C4nxiSN7Rkb0y9Dqjookd4SITPvhF1vS
u0/NDiseCVrzAhYiu+92l7hNvuhGuQ+sYcNI2l0TIsT5N+QaBrTikwmcdhlN9cnSWePIeJdyAJZR
fxE4E7OZYlEZ7Sy8PrA+WjgV2p0BHc40GRvHqeE2iH1BLiY7aWLvJ2UiCWrP9BywJ6ZqhNnaoir1
xzRgSd0a3Vcz8pARAz7dC1dezkzUUsorMXnnxEyDqJu0COu2YrMLzatQCGxKGa8RrvnEhtn0iuFw
aabaJknHSyK/X0xj2uQZyXROuybJVtvQzxEGRV00tuVl63q3Q9RBarOBqAyZzWQ7NtK7xAzGlSz7
l7jpzsJB/5x2OSyt4jz0AcszEEdgbKyMqH6x5bjuOlFekMXFsme6JbgX0FqffOYEXjfovGstwCit
+/fQWL8MFeSNLARy2xFQiypt2YrwzMCLHQ72SSp5ZrXAHwJr3AeVH0MnDKrR2jlNk3zuU00lK6Hl
ADymVi29wVunOpWcTXIf7fW0GorwGz5K2Ew9ON+mFg/+NJ1ETQQP5YLEIwp8vcYLGJjVi9v2ydJv
k2MbUXl245BTiEZfiti4LDLjEynggIALazGEzRPo4xV5AgdXG0+NgwfJ4PyqXRjxuZ3fDqP2GVEf
cG2WZCo3VyzmENON6tQn+KasybuecnCCKQDgq7rFHGCnbryzch3xZ9DDWcyE2Yd/k81ivJ+DMehg
VsK2E9sIeezY6j7OECt2rSPMyZO4zhZ39qa/xE+6yJb+w80n2p9DtC6W7S46t7dqFe6I8zpAzoiP
4fbfAve1wDX5hf+iwMUpuakf8qeoefqZW5IX/1DnsvAmfub1LSPT512dywzYowWfAVevKqa3Ht2F
5f0KDv3jVW91LmGovjlTp2CKkmEq/hnD4l2VO3+MaPbRAPAPX3QGYryb3trEP3lxUE+nqf1SeQEr
p/a7iO2/P7DlqwLIch0L6CuX+DADmMrAKYfSFGSskCSub+w0WjT2N7YdP7wBP9v/v/tJXuv1d9f5
cEMUmiirGjzkyS57pD/nyv326wu8juX/mC3++Qr0Hj9OuqWoEPJAPgagyfjAunX9l0Ibl76GULNf
g9ZfNv19yUMwumyLYCGi5zjcSHlpFFdtfi3VPDY4c6BPkC6xkBYF0zWn5Wrws7/5Vcxijx+moH/+
Tj8MyU0e9S3lNr8Lcx0g7q/KLx0ogUJYJxUwGYTQE40vLp6Piv+LfHf561/VK0Hw468KPb6NdERH
omt8ICaS5CVaHrbjCY1DJJYCMdh5YtGMLEd2+lB6kHt1+xhcQg3n0O7UJ5Eqh+OV1rzXtYnmCGuL
UXZ6j+dBPyif2nSbZndGZh7wuiMkBWEmbgcCyrdm4scosL0WUlC8Zm6wL7txYfTVRrQjRE5SG6ZT
70TrTFpIPDXwDNO2HvzLzLgkgmUTdGRSE+Xe3DTSOwJQRVCGPJfAGANBOl3o0oWnNiIaTuyboqyq
lUPNOVHfRyiBO9Gdu3q2Bus+VndNnC1GjWALlZ+J1rqK42M8ZNseysltZqeL0oS9Wfg3LZMRK7Zx
FKNrsCNprayo8la6RxhMkaT3rUZ1lU2ky9oBsHtpnf/6HTLf4xn/dONbH24XFfkox4ZmOulbcxfs
p/P2i7n19vWpWYjzdod3eO2t/OW4MZeH+gAwYjXca/tk0271rQOpMf4+5/3LY2K+eT5+Yn48Jj60
2xbCMTebP7JFsicVKMdmQ3e6qfS/OY7mj/6vrvPhwMMvCHg15DqoRNKb4Vsll1G3hNnuBH9zE8xq
rD9d6sebYJ4w/LAZQxuQ1qYfGafQXMaXCZzgYVnLhWpAuC3lCS/Nr9/T+ST9+KORcMZibJZaYbp7
f73MyQbXJYnwhCgSF8Bjr13++gLzF/jVBT787pDku3kvDeNExdvZVEMaWqnkb36Kv7vIh1PWH3xn
Gj0u4vdnUwVj6IaRwq9/jvn7/NXP8eF4HHlW13VmGydixkhiUQvd+UR+N9X195/lf3p5cYye6qIp
Xtr/M3/lpwLJeyTD9v++/2Pz/c8kda4e2od3f0CSH7XjVYd69tNzg6X2Tao3/5f/3b/8X8+vX+Vm
LJ//638/fMsYaEdNW0dPrfHnSd78yPnr8mifjz+piubXvFVFwibSHaUixYfnUhXwLr9N/4h0hxsP
uYtYNvf7gvGPqshy0Hu7Dis0xgZzLfFWFdkkpiD88yzkhTNC4h+tESmj3n1E2GECqaCsngXc7JkJ
m3t/L5lhWgrZu+1FljgkYBdpRP+RIeq6Go1+wgMT+WEwOQS99noIkaRP1NpmniMglBhjrpbWGEGM
g91QjSfIUJABFh5TpRo20uBUhArZaWhuwbNj/V5YVhqReaAFMXG/WuAXOYxAp7Mu3a7z63zlEqVk
nQ22rZphKbQqbh4IZa6niXY3cBu8MUPd+5zc+Fy3cVP6x7DSw70kf44nkbJuq4KoEQ+8S9WRKb6w
khiNX6X6s4hZ3AYXdX7hpkn3iZgJ9ajntl3u+ziUj9AKhk3a6Nl55CQFmrIiuIg1xjbAmELcvgJS
gqfM8Yq9brDHr6WOTBjUhYA9s6pxDBcKLzhOIKN+IOmoWaYtRiHSqW3wD3bc3hBEirEozO0nb0r9
bR+mCikecHu4OewjLfOTN+npepgt1WmnDxbLU5inNn0kNC6dSRGcsk0Czn9jlQJ/S9MA6EIHSVTN
1PMcY3QQL8Q84PD90PhqTuV0GU7AUxeJ0RmPCWKts65q5H5EQ31n2o25QrGB7a9EQTQBaDx1XfLE
rzTfV74jrkUT6YSpUooeLR6iC9stwouRRJWVHO3owo6aZusTLca81PcuGKrYu6wioNYfiaEJUYM/
4SdKzwH2NJ+7rOg2DY0wKLjIOJIKmuJxDhmhjX6AvpEk+SuUebT1ld1cmhEBrFh8ijNcgv0ZTfMB
s90E3VzzNpU9Di/KgjTqlZk8DEVk8b3FrgYc1dHhnjRQ+4sRy3HbssKpRi/flhIbsgUJbTHYpLEu
JsMPDmmtOZ/RF36BBGecG5pXnvj2g42WwKRvCgM3Yl3rp3EKIbQTX7KXEQazAr4Yurdy/BTWnlr1
jarWY9QNa9lPwaYBVydXrwfK//TRun0uLh6y5+b9Ufr/9clK5fPXJ+vZc/0Ta4zgNb+frPSHwoFo
7dDa/UmfQeYF8VEsHWaUMufx28nK8fmqzgbrM6sx5i717WS1OFkhZOguERUk3mOoeXu6XH5/qPJg
+usyb67j/nj2Unf6CMUItmXhCeecCcb7g9UVpdRFOLUXLtlziwS6GePb0EhXbmX5W7f3HppAqk01
5xkSEBVb2iFrvA5rtRsZ8X1kYME+hUHRVXu8EOQIx12s9HWp2Z17WaJ5VZe5Ki9KM4lu8EwCrArN
yQWZNTUsLcP4q5naHOI5mTulHnBeS4RxhObk8xFvWBPpgK+f1sqGOLO3Ai1D8iFaN23uM+KN0UYO
kLmwX5qd00TNxsiHSByyTE3FtZzYsCDXDmb0M2kHW5+g9BVFk8R7Bxq2LlS81ZKxWqsqEFvmR2Kt
hmra6olTf576sBO7xB+daW02HWPe0fCnYZ12GEDZmgcavg6r1PCrl5Nz7MYmBKNrFM51xCwS7J9b
YgjFekS4eZi014mZgggkjys9DWwSjG3l8udRNsXdpCyfqRr4tLhmBFa4e+AUpr7+9xZ9nQ0Jata/
vkXPH5LnnxRMvObtFn1dfTK4sYhX4w4waQzeih9Wn6Cx0EKRFzMTSvmrt1vUh0ZDJ+0y6yPh7VVe
9XaLer851D7cT65A9DQzbD7ckr+6RVm0frxHZ/kWQipGTPTv/sd8AAQLfBiqnOVYn8ozTWZVcD0M
SV7tHCNKtsqawb0uXMMKATLQuHRv1Sjb7U6zd0mAGD8D63tUSkf+EKeevhlINl1YLhRgE3O1Z+NU
UHFULxKZHzQ/to/uRIbGkOobJ4P0iNp140/es80uBTMuJJsgIGp96YTyLCfMKSbUSXtNd5pznloC
n4ye5Kd0zoBq5jQohZk5JR5qQpGtDPmpmnOj9DlBiljQfpkTKtVO4sJv/GfANsTEeaep8vYIXK9h
o2w1Qqm0OZ0qD4qziriqes6tIobtLiVP1iPQKjPsWxmRcEUrFlJOkXoliL/iwbw3vZIY9+AeBsPD
PC3Ch1sFQI/JzoJ2A5mKOC2q235Z1/igXaK2qjlzK6kNPGrpRYXvGKO3PFbEc4G0PrXgMFt+0YAX
iuVUKLUYg/KQzdleMMh2cNhWOspLf07/8qcctinGZZeB28p0x8NEVJhXh1cEwxMP1Mb7bk4Tq+Zc
MX9EwTYnjZVz5lhM+BjF2H3CwUjJAVDLrKeNHAm8lWX41MzZZWMp7FUuxi3o2EM655tlBJ3lc+KZ
mrPPorr+XAahtTbrl25OR3MSctJQbKCCsZ0Vj6sXbc5SwyR0quZ0tWnOWesJXPPm5DXNT3fgXq9S
2ez8fuazsQSOW9LabJkni2FOcBtzYN9EurkUaut4TnlDjH1vEfsGIOjroE9XFZrrvhb3qoQZURMU
R+QRfBaVgGFs4ovMHXfJnCpXW3O+HEFzw5w4pwmbLUUpNzFhdCNsrwVNwcYlpm7kaVYAFpjhn5HT
PPaoU88pxRGpZLP7rcWJlK7U7Inj5weWM85GucCOMM31uD9dMDgu2Byy1HmnDBd/AdjtlARCfuMT
Rr1FFJBzQW+28YkqHxdBQgghYKdwN/b6aeJmuIJc5m4TzYPcSL26QGV4MM3YZOnlL8yK10xRqZ1i
Kc2FO+jF2uTTtmCEZhKvLEbMfGY07DFb2Au7KqKD5w1Q33pbrWE8tLiXwODofb9RgCA8XZ5QHqAV
N8TR7Cpoab5/hZ9Vrpo0vqgctnCG+EJHM17XQkvuc9KyF0YF1dFEPiOCulx7LR/I2jET7PSSSSmw
2YEVCVU5EgmPje02M4gedHNSe4Tq+ovMsojUKaAma+MxMQCe+NhEOnRLiy7FP8E++7HuZiJ5aSx6
s97nTmeyTvQOmmfaByFTb1WUMZl0+Jm+GpQSCyBUat3Jnq3jrHHMQxcUBjnUG61MoSi1k/5UCeMu
zrJgQxKBWqtaedt8IpgoSVJAbxnSgYY4bx7TVbEQxvz+Bk62mFhLV6ynU6UuonlfrYjzillgh4qf
WtfsjWC1LVhxR/Ouu3jderP+nhva5RCyETe9jneIHRP4ig30rnGTsT4P7Yh0hpmLA0vozJt37IpM
gIilOwSFbccSfpq38WkKQDYkByhnUd/MG/uxg3IIfWQblOXOYakv5+2+zcODAICUG5bNv3H0kAFk
r3qAsL/MZ4VAYYEmzWbVgIQ3TDf2BdXqRiEr6ALveZh1BimCg3ZWHkgxbBnxX/9bIXyvEBg5/apC
aJrnn5XxvOqtRkBmPWMyHeZ5BrfarHP/vUYQv5nzv35bHP1RxuPnpKSYSXc6jk/8TpQPbzWC/5vL
EoavSKGAGBs05z+oERiofKwRbEaNFoFEBvsdOJsfZmh95w8aAmp1GpEtu+uwD2IMSy7LcTlGIfSM
WbyRSHM9xj37YgKfsW7TfUTtvpwinfQRZ0rOG3wx0zoejHaCyV3mBVTp3HTspwGJJgrLkvBMAjBr
jjiGGbvBEdJ/8fVMtNdj02BkZL0LnjEYp8knQqNQDkl42lwpV440JuDjiQL7MrH5wCrQyUGsM0PW
0xp9Gc71mTdCS52IbacnkJjrXlr2bSqQjWzgC+/pNjhwcsdqd6XWj7vBHLv4RZnesJExg4m1lDHO
iplsugthGR20wEsfI0zvK59QMm0xlmO/1lLGMASw8nwOUarqGeEr6Ljtx95mNjJNGYYnfdRCDmdp
be0xfHGURkxf7r1Q6ViLNpOQOEv+jrAtrOo9qxAy2dRZKMHZePOhKqPMWKBiJVuj1lBzu27CKd0m
kOWQQrJ208ivmMWxJLbrO6+2qEMCSBbCmycOUyEPZa2ll9YIOjNFmLH1yvw5cSd7a6amXGN7t7ZN
0UZrnRQXyjYX0J7dpZeJjgmRPHjkzL2xQLWm1p4Gh1x65nMIf2OHXJ2PxZxGz/IFXmAhSXh3tMeS
VIqdM6UduyECTMK6fnFVEMAPoURyMwq/laohK6et4W6LImsOUPjjlaGF8ZHvOVtIknsPieqZ3scA
mAitYxSjxivfD1h5+0W2bmbsOkxDGE215S1UhyIpn2q+Tc+8S3MEM7KK5aKuLcR5CmxWQYDaoi0B
wHTYqLYgE6srfI9oVqVqr9yIimQaRYVnd8STyCwk3Uy6P6ybvoC0Zg3lehBuB4kHPHMw5MlOoPSZ
k4z/s9/7d/YxJ6v99bF58xw+/ExVOr/q7dgEDGIyAratP1bqvx+btFacf1jaiWuCC8Lw+D+tlaX/
xkyEwQfn4nf3/LtjkyG1SxtkuDNY+B8dm7Z4v+Zi/IEthTOTa/mGR9PG2f3jTghCuamnfBunnrOg
WcWmeSttaF15jrcwlUwarGmmalEGwokYFAx19CrOWvT+oSV2eFkyJeTwGW+4z6ptF4O3zwWD3cLJ
1nFXPkljEGIxtR2huo6DIXplat3nhoSfT2MWq61TO8F5aI3OPh5wklaGuSzdvj6iuu0WtjTCzeCK
xzZoXvSg49hT+UVN2HS0dApoZ9HQfaK+vXKxlFxVkIuXMlGUtWkOWgna8iL1sX7LDon86ONbZCe1
9oZkE8tO24kY6k48n4NeF30TOYQUQDvso1sSXnYOc5+FLCfShc0EoVqQi1NgxMVi6PI5cdgn6F4w
Ky+5/BSl+aImvpyr0EZOlFaLGkAIFk11TN3gFBfhAeDYrq3JAGpz46FNTXbvkqlq0fZkCQTxp8KG
0ORAG9F05GIOSLooq8btNGfC1B3rT2I9CRVygrXuabfl1Fz7dU2+ju7tbehvQDfI3nT8L2blPhV1
cVEx7YLyER7Yi1/abXAj+7nPVfWqR2tel9Ze7/yj3ahmBcaZDNAcb3+ZFnexSg9OHt0PcdssR197
GaSH7bv1N1Haf7Vz/7nM3WqPxTtaxnnr8UDi18KZSilJgOR5FGFnwIQafTXy4tIb48+JzsNTZcjX
0twe1hocZgq9fFpMDU6dvrn3nGFZWAbgQhl16N6ikLjr6nNh+uSN6ASkDp5Dwa8PNwVvfZoa4Pmj
HpR1PpE7Diy2wOHeXZYNJgTdVWzdp+6JiJO7Pky+Yfi3NoEpvpVBAvFvCNtDTqZGQK2+kcR9bZzB
DJYTQ3cubww8e2HSkn6SsVAXFcQwy9xrne9vpZeRI+AV3AiF9zLGrMyT5tEssV7hNXbXIm6SFWO4
F5WXWG71Edu1hyejzJN0E00us/SAnqL2/SU65xRjSQFLpyCJIBDV0gQRjnu/39Ik+Cviqk9mH+wM
O79EHXhyEm+vIcfrjD3Uz0Adfb5mY7XXZaXA5YK5TTLni+uTUJJD6FEmTEZiMraJILAUr3+Tt3du
incDzyo407j0140Le7XwW3/RxvmmSMqjYXTbRstuG9ntk0qet0g3d8JoSGhC4Jf2O6uDteoq5hr1
MJyy1KD71dP7sGHT4JTw9HTl7uPKPTf87CJqS1YmZgtYDWhVkSQ82p0WDFAocD9LEYF2ic6NLjoX
WXmfsl5gd9OA3RPBLcOZL13dwCtKLASpeCKGWIB9DC1yy3NIPaGkpNA6DBoEhi3Y0aLOHLNPygm+
TAHfX1V2DW2oydHD6xDhDoxx0hWZqPtgqp+r3LTW6OqYPfhghiS40hCZOKh0tJt9+wrevWoVugoz
6sY10nRrlfS000mlv8AgOrOi6DwKYTwMKfi3FHednkX3k2PeBGxBljW4zWXVphp9tfgEof5e8Nxd
SDO/MjSoBGgsXxy/25JDNoNKMRAbTX9Vh902yI2bPmyOeq/hHSq9Q4SGfxG42VVKJC1ZLdohVOlt
ZLe4c9rh4Iwkk8i5UhgMyLX4hZdOrhJ2YwABJh0Hfq6AKwZoFLU6fcFxfVOVNOajmBnkUQgjIIy/
1SWCyELkSGHVtLLIMFxSZupnSmrTrvVAas4VyVQxqiYQeK31LQs8X14P8Eg6Q9uxHzrz/azfWGV9
gPBCUIIIGchV2bg1EY8vU6ewN0E23mVorpDQPFQY/7aDEZIip3rIyNmtYffnhLfzUiNaW721qWO5
7gvvLCrrXdwE7W7iQ0R/SxCgbenb0RVPkyiPtuTMHgjYc+JwXYn6GdHjsR2qh2mQazfi7mxGJBWm
uGe8tAoSKB0DIWdBou/cltNUthur50NA98/JXcJjoH3Hn5ASh+zelF10nCz7OWk5KCPTKdZ96u64
uYcFjOejMBUj68YnpWMitsZSqFdRisBaYmymqLd6sua50a5qm2bZcadiq4/ygWdnzbQj7AimH4s1
O1/n5LE4g9FgG9u6qe+iRFzjxk/nhKNb4bb3cRIGxJYw5GtaPhqpW9IwDIQyGd6jGXjDtvZrBN7F
Yx0zIMi94lsToBPyY3h4OUuHizwBfxiU1SXPPGwQ/J2acd0+6uSWaZpJ1ODaz7pvICwAkbjVNzPM
4U37zTLQAiTdwO5FiR7bkmNIgBLpgRA+rEUAym6+y6pl4OFzdXXuspKoby0qNkUndyPSKXxujyYY
DyQa+fVYTPCetPgrVrMnW6HMDbNsiwhsSx3BexD018Im26Tq0cVPGljNNuRRnFvJMqU0WkZiGpeO
JpqTP1m0d9lLoicFYYTqNECQZkoiz3UzQnvali+exggSa809uE6x1qqMZiB3SFQAklFK7U6vuuCq
9vIjp3njB0cLl0UI5lFbpkRj7vVXVlXxHVxVR7okdAGPzLTWX+lW/44fvo8f6Mb/uo4+Pnx7rh9+
sqLgVW91NOMH3TCwb8KEIvl4bv9/r6P133B1ottAaMQm3OGv3lYU7m/Ee/jU0ewOsGH/OH5wfiM/
meUiLzBRLP+zFYXlMMh4v0akVne5NTF8QVGgkn5fR2u6GBujJUgz8LONO1Nl2wYTYgpoFgHflxLw
bDm0/moCRevOTNo8k8e06HY6sFprptYq32Yfr/CSuunZgKF0MfkxNKOeMQXQ23ym37YzB9cDiEty
GLC2yPfXVlQ+ia6EaOd1F22HXFH09w5YXQFe1zbAuSHt+er46UojX/VzbXT6LgfKKzMVLN2AAHe+
7WLTge4tZoavFMY9IHRi4We+L5xRGl/NsTakAbyQ4v3MuhKyJouF/8femSy3rWRb9Fde1BwV6JvB
mxDsSYlUb2mCkGQbfd8l8PVvpW5jWeWyw298Z1XhK0EggcyT5+y99sqliPBzUMFlGl3BTX6eQQgr
Eg/oSapwacX0UAANW5I43EP2BItDzFvrlC8uWOIIPHGO8AXaE7fImpmu2ko7K8CMkyy8KIEbJ5Jy
nDRk2LexfraS5KwWhlhQOnX+KOnIGZbhjW1WeILa8RVML4IOrY8XaeRyFo4s/OpqcjuAXMarDiVX
xVfbGplzhMV00wJoznPtqi3GZp1kQM8VIM4RMOeoE4eqhHfujBHYLoDPoVYlHPFpluIrLxdlb4Ft
jVsUiZE635EQgEOltHowPk7CfAKmNPPmZE3G0WfOTtM+HCLKsEKlhpU0amN0lRWb8NGWoGqT7XXq
g+BqkhTrCErTegpVyNZZDmlF0q4Lyb0ubWVTSopP7KxLwNgTY9dNGxqyLRXla5ogcFgBaQO+YxYN
5hq2dsBWW4MucuBuZ2H+2nkRoG/J5EbLkq8yyekWALszwN122FQXcVqBdQ1BxCDCWScxnG+8Lqs4
0LrVIBngOjDwNMAy7DDjWiaSFO728A1USQ9vdEqfsJ/x3KgG5ODeW/SSNp7AhsUmCIE8TmCRo6e7
YAriLV1hf2kqsqoaT7ssRpyLRsejbJmJWIZDDBs7nFwERvYNG9jTIBnoMdlui9Z1sm3XCgBJ4Xij
SGY6yaGvjqSojzmoBAZ5nAIlY70Gth6oTJVqMzO30BMfvUR/Yb/YOJLQrov2QskRt4aKCwEJjPsc
1S9ExRHsPjo1cXCtZ18x0OrMvTZDm4ACb+GpEM2UL4wRmH30IPB/rfXULdkyepVJpFhPRmecnTF/
5CTQghHGoRG0Xb9AFnMvQplvEdAxF7FCxQvhuCyxNGFEAlXYj5sxA+oQlwxtyFZdUEbZBOnQBapd
Ysog397OZXBq7OrYC69d9mXxNe5qaFrRrtDdw+DipO6SA7E8Gz3N95ESXagJQ7ZyortkZj3Nsca8
Vkt7IGagHtYYnw6uQW4D9vgduC59Zaf84V64xWx1oFP31e6cNW5PuTShBqaI26Mzf9apYxa1BkW/
Ft2I9niw9/HcrV0RCtI5EqfrHoqwHsq1iCq6CBDOyxtj7Nv7UojxUQQ6LF5bbYdmiw/JegrT0tp3
bZWFZ/LuQnfX1Yr5FIS2TsiOxZw3Jyx2SazQgxaZ9soSOo9GEGargOdla5aQgseEKcbIc7eyKgGd
vFEfe7Pfzpju8fbY28jmOO/INMMxDjk1lMGVi2dHFJgfQcPMnEryc2aH6V0PzGCVk+9MxzbTGdwk
X8PGuWpsprjk6KwntB5bAHqZ71TOteF1n/NpuK8t0MW8xRs3QD/h9bjK1PnsmfGhTyfLryr1GSsg
aKSCIA8QHdqoZX5Hc2NbZ0rMsxacplTV/akDFKiAllkUtG3TXSHx1WQUPTvlEKHsB23twLiO0+RF
h3ldJuJFwMAu6qlazFCxCeblPZSgbAditiqOxVAu83TrMhks5k3cxxtlcE+hhG0PULdt6NsgeXaB
xHE7cLlJ7dbA0KGkyiS0G+cwMYhgvCMJ9G4k2ruQkG9CEvJFQrWOtxAoCSRwY1A1Px9pQOp2fR0n
Fm3wxjnKqrOUIHHUfxyWGYnWkX5pSti4FYLYbxrgdnDI6X/gh6ovFYjQZPXaD4k7vCYSXT6K7DBK
mPkgukMAZM+Ccg4x+TRJ7LkO/7ySIPQ+qdaxp0Jid4l7AJUOTz2kWCwxXTHqLxCt+SQ4EuOWLemP
3DheajBMM7/Y5HmvR4liN9zukOBxWzDTtvkPxRoJ/97sALj3ccR4FKY7zEfWZ4bp6YBbVIlv4N0+
1xDgddqzKTTVATh8avBVq2BiG8mNdwDI51r4JfG8rYWOv1T41wDUfDcAnQY9n+v/mKH+9Sc0CDnY
z+pJgI4/KCf5ob/KyZ+b/d90trYFrkpHsPatnCS0SVelLQmez586mb+mWc6/JUvUBMoDBtqEd/o7
0yzkKx/LScTDjNtMJlr8FfzC78tJl1g6ghrU+WTk0X1NZwje7URQT4XZQ5vztVvbG42HyJoUfxDe
PXQ2RuY9J/7cs28Tl8zLstthqF1BmsOw4TiE7qziaKzustJDFKyrV6FSNLuOhZCUkCxRXnSGqwyX
3syBTiCNgtabZ1C6B1vpI8ylo1CV3sKyt29G6TZ0yb0hRZiRhDQiRnPKXlDeTlgUQcvdGZREC1W6
F9WG+gI7YxS7ew00J0Eqr82M0V36HkPSYiuMkCwL9/rQ4ozseLMCzJJD1cAWDYqvk/RRRhgqA+ms
1KXH0tLFqcN0WWcUC9abDxNDZi2dmZ0asJxg2AxVnJtUctoau69Ds1XB6jmKUvGRGBy03jnR2sUx
Ex3m3vHRATpIJPCLavpwaIbqIZJGUtOBVpoZVykW084C/xejUG0wn3bNuB6kG1ULaGdW5Vdd1ZZD
E197vaxIyaatwnyn5dN9irFVKYevakNJqiqT4+sG3uA5piWgKGm3MLJ0W7cKbMvIpo8FhT/Q1Z5M
ksg96QztGPFgqh46on5JI/Y7ibAuE9qUOYO6lUtrzS8ER2Y0jq/RFO4LA1VMFyTqgmQrv3B1Vixj
2/cNqeKAUAx0HUiym7qid0vrZdPhgksXhF/sjK7x29aifwJRxijpA0UFXR01eElB+aWZID2pp/Ar
xHNoY4zhd0owAjRSulpjhL4hMpRntYGq2ww0NLWUIFV0TUBx3Av0ZMPKVclQwrhmE+JsgM8smpuo
DcxLvcvRKegh3HuHUOa56bfRIGYYmJnJNuQsXar1TaEQdJDx/F/2scuiau6Uur1XLWur9vr9OJCZ
HkatuuxaXbtEnpEcmeJS3qGVXkUW+DcwE8qiEGR+QJYNNpOmqZeVMPQraK/Up+mw8UysU2O4z9M2
ACauP0M0slDETPEJ4Af5VujNJzdf9x2p8wwwM98ai5epLdf6EH8qQ0DlOH1XIVnLfpJN2QnD4yLG
dfVuUftTyvo/RZ+fS3A27f/+S64B35Srf5jqMHvBH4RWhlj2w5GzMgRccsXTTll+l5qfLWs55rvf
voTHadtgos5KiEr3+2VoqkLREkNonmhz9+l5qm4L7w/j1z+zQ+kx/PkeVZXtD7oe8uf+2qboehhS
YIkdFzQNHpDvuh7gBsk1daQaQ9qtvzU9gM1pRAH+6T3hufi2S9HqYEuDwWXSw6VL8RuaizeG97sn
kOGhK7c87CgwM0z5hHz/eCQNYZnOrEenXEWFdBHpQOGFptI2s5qiCM8llfJ+7mv7yY7Msdl6SoH0
jmid8bGZnfYe+kh543mxBaXC6EfSMQqne2iNXuP8QBNiZUcMlsxYuRc6i48IZ9PPdD31dWGfXRwD
PUHF/QBxMZuex3B+Jkra5E27tls3J9tI3ehZHrOAcm7XUnslBmDXSrNHNw0jizahHzbk3hAi/ZzW
DSn2aK7Ac4QyQ4Sm6DRDR0A+LtM/hEyAcnGGejszbJrFMEL+ze1rc7Cu89jWlqnhfJ4CcTm7Tbj0
Bvalor6pDP0pctGjlQF7RVEkPeSZmeTE2Mv9ciiZYprWdWI7x8Ft8ZKC6CJ49QjT99BHKcfFQCeE
qoUYYDYhkr0RhEE1p9dDXd3V5lxdGM1QLuaCYp0WpqAyn1oCvaTYLkPX2Bki8kURZkfwSID/qk8o
t+HHaGq17NXmC7ybCWmbyFZu22+zloRXvL8ap6zKcRIOMp4PiVgAC9PXlLAIEhM+A6Tiox8OrrWN
C/6XOQjABF55XzBqo5y+ckHKuFX2qqXRrV0C2+m6hKxXeDiIAq/iSuZHWE7kI8wNGM3ax1Dy/MrM
vI5s+9ZsoHURDfAZnsphnozranJVchnIrCsKh/SwoUxI4xOHAh9vp46oMstik8WKWDAxJnROAxlR
F1Bz2mxp22O85sS1sqvuhii00VfA5CwYma7N2hkue9nMcaYWq25j7rrUzu/dXAanpv3VPLCXWUZ0
WYAvJqaGZLpk6u+aKXkJhtHa2lHDgNpU16RcPECA+uQEoa9TkGQ5KZdC/hnqcK1MeGGC+ZQBB6KJ
tfaCMw9reUkQzjHz0vM82U+xTf+ggAu8bgQ57CbHXCT106Gzeew0KzmWesnm1/CHK+6D4tBJ66wx
9rVEBL7SSG50emlV+YksxQM4+vPQ0sugpT8sQsdcK0b9RIQDpBb9Lu+yEFKNs68G+zTFo8H+T2ni
EcY21BSPQXuLtPOF8LoL/F5f9CC/bTsHOoh9TIZU26mRA7oxYyRglXwPjLQ+Z9rIKzajo3FFhsKv
sE/cPIntY/SpbpBYa2p+0gPtXLNtgiV6UZTAd0tPXTgRQsAcnIqkw3I0iw5O3hUPke01NE4zfaGo
RXZQIPoy94NPHSCn8J08f0aYk666KbvS2uATs9/JR5+G0Mozt547H7Oiu+g1hgW9+Tja+TPVJOFY
XHTUr5IqXmYBMUmk/bSZujENc2tUsPGA61/01PaLwnSL9ZQWS1OXzjTEC5MV7b2+Mw6x1hRXOEyD
di8GjXzxuSCrTTdmvFx1h57AfejzAud2mZM+X8eYwOpM7Ta0rADZFSX2CGHqZzGZe5S12mXEi+Xz
nVuAcKlMrAHvCb0W8TDXRXhNQEd2SDBlbzo+gtWYKdkW6hSMlooSGnt4EKqLwe6ibacYSLj0iEtP
YALXSoKL/m13+meblmaD/75NywTyYx+3/3N6oaHzAw+p/PF3uzWbKvwTT1fdP9ygf88opAwI5yay
HUZ5ACi/bdfS6cTPQIjD34BV4p2H1Py3i9aHjCC27D/Sy39ju+b3fNisMU0xaDZ1fh++KTnBeOf+
bhiutFSSIbT8cNHqhxjN3buP5vxH6fm+IP04BaEa8EDT8YtsnBrEd3yEIedaqXpVNonLMHV2BHgD
cNL1pFk7uQC5iYYSjTV+oBkKw8pWKkxCWudaNzp9HFa4zrMvnMbx2l0RBvVF39CS9fM3t5E8DIuV
+eZCUnn85xXRj6uyGtVqmzI9XJGuq26E9C4h6dMxXEAhxyVRr1rpcTLsSiXY1j4n0vtUpTkDB+mH
ipWQ5h4c9ERhICMtU0UzR1/zpBvIMIyBMfhuqyorL5tMHc9kxv9baZWZc5Ywc9W46YqKnnRVi/qq
E/wVcT2vZ7T7C0VEn4xKA2cUNQs1Uwha89KdMdSbgbV07G1t4XTKZR8N91Zq3NZee9Ok8zEshnvb
QtDg2sxw09gkhM1coVQ8RlGy08Iw3WlNj4RC2Ad6h4jXIY+hjifiUKhoVqS0dNozMXmsCCxGKOPY
Cxlp1MR2svWKiJax+hLZ6QS9ynB8ExsLZ1vtS5SV2XJinDSVNgnpQAIAggCU74QAZWcE84HW4mEI
lI2gjdgpcbjJM6thHo4dYwY+NsYX+SjpHobJUoeoYJ6bHf3r68iqs00CuGgZKumuoXXNyqXtilY0
qybKb8qmO0QGZ0dlUu3XaUiRHDUh+RS6vRb0gtlJEQOYWHAVhvf5EOxEVTO9BiisJQgjUqJQoXIP
FA2JdWOZUwkEjZ5vWxTWogg8nU3NJBR96i5qe1AAlja7IRXTpszUL6bdfwYoiNA2s/OD4eUynwBm
6lVFZuVSEzJSUuMcjM9J2XsoOTatq75CcdvNtnLZac5dR2J7FjFxcKcGRYHr94Z2nHP3aiiKNZOG
ZdIEq1ZTyHAeU2D5OqnZHfw1gw/eKqSOYHjQZqT9lRUucTY8zfZwUaocnONG7MHhnGd+6aAVFzmM
stlEGVwpz3qrfVEUsSvN+WgEqC+cewKkSnfes4+4awvdRONYd/WswYsXLwMFDAET3YFswaOFlCcM
SHoxiGzA3EFiXKjjDkJz1Iza0TOL0B/NU43dIwfnH804G6y5XlN23LqivTPps4sQeoQVhWdzQI9M
M4GchCE+EHq8o2+GGmDQ7isluoVbd4cqmwp1XDth9VV3xL72lL3AGIMzyt7XibfJYPYvXKddGqWG
w7E3u2tzTPbc38FK1CejZ2+bDCg95OsR+GBUmGZMkW6FkutkhLvOp9Yt4UeKaQoocIL0WuBBXwiR
aSuzwXRDxyBa1kqaMliURWw3UVnryL9HXgtgc9ike1PqcLJmoHHUo3HgDaM7DG3N62hY1IH7MjP4
o4Sy75UW+ePQ2pdBVCEiyWj1dKbX8jDjbhkmchswQHOy0K3rTlUb/DBjzTCLbrmmJYehJAezSscF
bhsSras2XKee+cm2bxK++WXdK/PSkbE3rpHZFwFC55WYsbjQGH8xQyTtdj1FvHIe35F1S5gaxLxk
QjkxhUeyz+bFlAZXaVe+MBvykyAhAUanclLUm8DmWzaqp7ZPiWBJtkPSfXWa8YT9NAG5SWPbGLNH
DGzryHaeSlBxvdvqFEDEBwUjMWxdW7iLxJmObUAC+YT2jxNaUuufoVqKTYVQLimGx8EINpbZMYeI
+6e2M9dVw9ecjoDAnQe4x/dWXzxYWgmGTyQ3IpuOhTduuxotuDImD2E07eKRV1SIiyHIwe/CJlIz
+7rr5pPV2o8isi5LmjeuOTyMIFDpgu5jZx7Wg+mxWKhE+5jeqiAxHa97i/rF3lBCISAkLWVByMou
bEW0iowCK5dl3zDT4xPMNBxhhXNbD/G+MxjPYarniBod6oAWlxIX55jJ1rZMwgdrqvHLqc3Wkj1I
c1oqvbgwCu6epPQjo9Btk4Z7pmKPXgVKdS79yk1PhuVuMaxDAwhyKkZyl1xlSQ2/7bOZ5Po+eEZo
suezXsYzbi1YXHuzn65akpL8xGz3iapsG8t+ClRACFMmZ9I3tEKXsGznNe6xcpHH0Vk1xddAHS1Z
mD6pJudOHYUS/VnIovUtqekzXaxyO1Drb10vn44EWywTXT/C2Huy8RaqJFYtdL3soPghZi1Nczyr
OrUsh1pjlbrNJxJAwrWiuidV5neMRV0fWtiBfheJfE3P+jXOiGuqVZQ1Y2XzvJBwvGJSHSwMM84+
A7N3ljpNbXs5TvoF4/Xg68+LkA9dMUoQj26EblOFoLLFfvp9maOllgZSNVAuk+TOTu9T78W0fq/x
9h+XkJXWu0pq4im2055LqPWEouvUVydCfn5+G7J596659+c1MM5QG9JdND7cBkLMCVpvHJ6IA2Bx
BId2FOKWU9zPL0MD6T8uA7QYRw+oclTlH7AiYZlMhpMO4akH3FBDvW113sP6rjfP46DRI2k4/ezf
rvnPUUKW1P/9KHHxpfhcvsbFDw4R8gf/OkQwmYJHQMa9TlcYbjT/9PchwpQaKBeUAqR86HV8Wd8M
AwBqeFg8nhX9zRXwd88Peo31LU7vNw4QVPHfPy2WqlqGzoGE4RQiLO9tavXuwXfYPV3sSspJUzL0
4DRgVHP+Eoyo81Irg2wL4tbSknXzBr0lsLG59iQJV3cGBSWtIwm5IWIJF3fwRG5lqzUPaCOA6VoK
LRjU0TmrD8bGhNRNHkV33oQty0xLG3KDkhqhpTRFsoiI1VAp3rrBMUkFrr6GNSbKWhfVuowwVo49
Fk+WOboQJf+tIQ2Yfao3T9WbKVPaM2dyYvZj4eyThMS5EXMVGag6pFBl0+v9C9l7HK6l4ZPZBlYm
ObfACzpJU2juWCt6DcOlKw2juVSpetJE2kw4mCdpLG1SQbgdXlNjIqvKpee30KURdTZG5FaiPSdt
Qetl6rJH+mjTjaY9xGYLh1BJL+M6jJYMB6+SuSsWWN8vJpUuqEuXZUTr1cZkXLtM+8wuQ1ktTbOO
tM8SnhfvizdLrTTXotZQV+2b45YSaKQ3gw2XIkRWa1hzybGbcFd4i6QrDb8jq7k2MfKmkEyvZmnu
LVozvRL4fUtp/PWkBZgigh9K5zlesw5hRfeNgqS1RPqGG+kgnt/MxEKYsHbfLMZJRC7IgvSQ4Mbi
spvhLcmTB7vYFc0w0BfB/BvYinsRm5CEOHcEF5DuWtSYmpRlan30mEmhZoRiM2yQbo4EA6wYxD6m
WheuAvSddCxzHz3sMQsisvuS6ZRJMWiEKjSaLQrtEPhsjpwnl9JRs3HBsBb4OZTB3jVSYKpLqemQ
TDeRFJ/qKFFNDpQbr0FdIqzeXZiTpHbEPdBXawE1l0NWM4y6eTFYlbJn/cTyjSvtbL3FOzaoYlSq
T0DceguFp6LmPDa1x4mTB+2ENcteN7WF+cOkH6SUJZquUSfgbO43UJ6e5KCrUxnaTVjT96OQ4vIh
1NaWGbiXwAzWSu591pWWYN78quz7u0AxLtrK0fuFrlSXkxJPO93mZI2kfatY7B45w71bNQmClet+
6aiq48zh9O8cp6j0VqDON7WYVjbKFe755E7F0crzp3lQDpYWH/MI3UPcW8FF4SJlyu3KWPdReBNN
IiSVMts1eGXSmi/JjWgrjgT4KvhqFuihnsMehmJnxycxlICKC/p6SjfkJCXUvmZnO6+zVm7TPOcN
drgy1XAaf7WdmKUlXzMgWJNk5qsDc7VQZ0LMsC2qkp0DecobhT8CU1xEHUpzpCF3bgYY3+zvQCq7
PKReaaPE9Ox94M5fqxoF/tzvHKLNDHoFlKsGjCeOF0oKHnt4jmwDH9KwasOQqDnLPbdpce2W+mcv
5R3OM+NL503XpkJIel5XFxOHfCU1/YrvOE96+AFatwjzwR9mtVqgBHnFkHc7yudRS5Nd00fnucQt
ge4ckAJU+HLr5KXPQkqP0lKv8kIQEj75+jztiqBfKi69zFnZ0HfeOrbq5xV5k61YK5YqWIniV9tF
T69UW0wpfho5q6kqT0WluqtCLTdAv5JF0odnHbtDPIRbobrLvFSOyCDXUxYjU9E5JQi/5hWhMPCD
RlsibPCDLvvSZF/KoL8m8J0nUt1yJCfZvvhkIYRrZ0hUJtdgQGwGZKGT5NV2NtJ5Cw2PuDaFd5sl
gJqJgMfLPaqb3Gx8L/B4AgMMCI66pub8OtXxJSvcGp2o30bu0nZhH4RttGNivSVK65OqdXRr3Rvb
rj65UXsdDoDm8s8FmLhaJckNO+jCMeI16SPrFnA0LMpVRDxeaERXBsEi5WBc07f+qindQm9oimBG
qlR1q3jD1m2VtRplNwkZ6Z2l3TElWTiE3y1sq1oFChArtV/zKl62nrvWjHYPmZoL1ivOWYJJSrss
a84jzMJex778xK9CGEtG0dSaFSHWZC040eiDW3tui5axu3Ig0mSHhH1VTk60GJqUhDg2CU6OtY8Y
lmO57Wz0bnjI++Kpg8sxVc4OTTMOV/gYZddsC9faqSLnDG15GzBmn8ZGfSgb7GKKhs5L0Lju+ey8
VVh02Bksnk5nM1jDFQChQzWDs1D6myx2tq4IToGM6Tbz/RBoF+CncW71MZGP05nEEyRT46Ia3auk
8Y6GJh4rm5ZQgwoBsvdd0NhXLX6corWuoUyoC7BnNz0z56FCqIjbCjZ1dsysEAhXrS5GFLyNXKjm
8tOUdge9sTZVJU1kI6O+0W9HWfQUCLmKu6aa9ppeHhTdjE5KgNIAx3Z20+Jg9We92zdIYecRZjwU
FkVJPqOHvEu6HK0V4ZQLD2cExFeGPxzvSxxcsfbZzpnwd/WntIl2HF9OrLc4hZsUyUx7sOaY9zJz
Un9WtcfIaqu1Z6S3eQNntRbphuCLc5K6CYMx1BElDHWM79sAq+OoK/kq5kQ3tOjvwIf72qTL8HDi
04szss5NEghsftPnSqlWSps8d+D1ZHoWbwA8+WRwoJfTmomUwkd8Su+q9/OMTUJgJhwUFwixtebo
iQPMWcc0PFEusP606ABDMQPDLw5TFx6aDuwrgkhoIsSDt4x64tRXolHZFzrZo/gvNLpLjVbuMqW7
mJm2tk312rvNKkyI6wgyjtYmso1cZft7V9L+oAX84fT1ViEyJ7Yd04DZhQX6+6NRNzYN7clCOak5
Ut90UabXZBj8os8sDyXvzkZ/XsRGmGGA1DDeUOTvylBU6qqNUUA5CfelQS7bP4oSxgTNwV91tH9U
8Bq0iv+60ofjURmUkzYHXEknn9lk8uKQqzzvSvs+6Z/i0vb/H58eb5OF7kvTUIh//+npqH/dICvD
86A8df2hDl+L7PXnl/jRHVEtUyxzGQPz7/eXCGx4LN5URWdChHHf9tO0yiJkROEmRmGld79I4/zB
82BqMmGbyQICgY+ncakY1ye1i8/k/C1iAye7bL//4p6+n2xIIQzf9ruLfDiPt4HSWXbARRIG811z
TLzoF8fkX92G/Pd3T9zQzUxTIeKcUcjbI8638jZAbf/zr+bDWfw/buPDV1OlU1oNeRufBbzmyPK9
+AxRjgXu0UIngBWyb39xxR/dFk4N3OfgtSzQHt/fVhq7QFfxUp+d+oqWDZbbnfOb/Zi3uwIAYmOA
5ytiAvX9NQLLUGx3aBKyX6JVbjMAKn3si7//0ZEgh/AKkKajfyQNk0zhOHFME6apHgv7GHFSTFgM
vOAm6Q8m0vkxuPr5FeUz9WENYon7dsUPXxbub6+ptAlHCoI44gYhpP1iMZAQt3eXkFAUS3PApuho
axioyeP++4euLU3oHELLz8kRneaOzfMCCtbKuoquLZ/I8TUm2vXP7+r7S/7xJr2/qw+XxGuUC4AT
yXmw24WOjEEHy6eX259f5cefHV06lZ3Tsq0Pj4Q9a7bT5WpyJnTD1zEfuN0vPjv56X/8dnCK8bTR
DgST8OHBrojUxI+lJGca3AvgzVSbT7GJhzBJfnEvP/rE3l/J+P5L4kRcNqgjkrNmfYncKyu4qedf
LG8/vgQEYc1zeJOcD49arKWDa85hei6Kk9WLhWA4p/f2LzbVH60+PGx/X+XDV582A3MR5ovnOH3N
lG1gKKvGXFtp76fdWUk3mfWL7+g/bgtQj+MA65HDbc00P5QKsF2dKnfK7NwNm7p5Gu1VPV//5oP2
4RL00t6/QbDB+UCjOjuPM9kuCgBLCPf/n0tId6FKwUOf7ftLJEIwM+SkdW6zV2XeoTf6xQX+41Hm
HhDyWbwnNN50S27o77Yelk5n1Io5P1Pn5T0WwWQXM4wBwvB2I/90ZXX93Tcq+eN/csUlhvd//3Xx
pXn98pn26xtrfPf5f//1h8NA/tTfLVn13yqIWstiSiNhtPzT3y1Z7d+k/8EApx/KqvWuJWs4/8ZY
qmM6JRTF83h5v8kw8Z6asMRRThrIseBr/o4ME8Mqj8C31e5NhunQvUcFKim25sei21B0eiF1mp40
1eyavdfFlQodIzcV/GSpgzbdRhjo93VSX2kOhAo9381NvhW7nRokm0KaDmULqnPv6epUMm7qVjPM
5qCKrIw+BdKHZHcQDycKVz9/MymluPRATW0r3cr8GCtTmU4noWQD9Yr+HPAg+6CWDhX2p8IWIJQw
RJGNtSEHfl73rrjHLPrZrpzryiABDRlBtQ0FqUG9W27N1rsiV/vrUDb6Kk9yekgabqxq7NK7AIMW
FG50fkz0/VRoJxcT15jDz7alryuUDi/RuNvBZjKdp+NWzj1N6QYby4mgROkQK8t6WFFMJNvKyLOV
1zhoCMoAw1cdferTulsWVsVMlTTXxSwFVRjhM5yMUmU1SsEVYyuOwPWbDouoz4npIuKsKFJlJhmC
rVZKtyCWhtdOh5zLlsKuUkq8YB5Yp9hF9gX+QrucUILVUhIWSXFYIWVidu10m0ZKx6I3FdkgBWU6
yrJASswKKTYDBzlA8USAhkgfLVoiZWnAcYyDWzWc/HJvIkwQCWsd701HsbWdl9JZXuuwO4bJSbUX
Df3Bsu8BE9QEgkRDv4Cwh4UYqUMEPxGH/7xWrfzKhCM4MlgvAYs26Rf8yg8E6h1LFSNr7oybDJ+a
D6f5ovGUi1bReZDyeGlV2bWIin2lN4+6kh6TMZa5ZfmtEUbjqovcVxM7mB46l0UucN5FnZPi7p1i
fQWH1GC8b0XJfAFQjtEvHPu0Ii/aMJF+pFO06/MAKXBA10HYurvK5/B1Fiy7gQpepvLokJZSKmmh
dqHda73SeW6kTjP1obohMojEqte6pZNPd+ALxJLIaos+2ZD400TrHrLrZWeP+dJVLax+YQ4Khihp
EfNfAt1cRLRaHA5QfqpKf7flpT4so2EzRfGwVIV66Vgok9IGX+xUpe1eVbuDHYvBpwurr+KsVRZq
rj/ZgpFzMJU3o4zj9ibyY4OidRY1QDYPN+SCCZCHV9r5kgfh56xEiczb5XfJ1C0SCpvewjgzDTTD
VZwrfTvlq1Kj60vDwlu7UpShmeGyUJsOWK3VUcopNIRxaSZOme6Ltitv/9k/3tgFEnn836d6CATZ
Ufzs+UcAA/mjf28i7BSqiyqf0Zn2R8j135uIzj/pJkWEZZImIXeKb1p+Nn84BSjt/9pf/tLy24gD
kRJ6NmpCPCC/x080P4TDyE2ErGvGVDLFlqvJP+J9neFooQbJ0yppdTQsODIPWhvpDghRMJQToUaI
c7rODFrUeaFXTHWix9xz9uh+6Ot2yKnKSwcIemIpp1mBqmKy5WQ8bUeaj+UJuvL9pJqfXK9Sl/CA
poWr4Cif0lu7AY+ldvOiSkNydsrEASZgzIDw5qRSV5mL5XbpypdK4+2a5WsG9mPYRIyc/NRyccWp
HbxR3stZvqBaOC013tg5KHmx5Evcy9dZ4b0W8gWfgLj7ttday0i+/sOg3g1yPUim1SgXiM6DM2K/
LRqsHrZcRiq5oNRyaYEcSFrk23JTJK9e7LmrSS5FEE9TNMvowgoz2GVyweIotSoLRd2oTIcOlqWM
xyCOPPxHecHClNzFNWEVSoZhCbPUicQCX66Bi3Em0sDub9ES2n6W1nc2mk1GGBCAjfFoohBfG3XQ
Yx2FIV0oWeWPpko3mekj0K3+ghEnDYqpBIAwKJuqAcBQ6PcQDImUYXSFlMeinaptHYOY2CmNPw+a
cREW8+WsM8Lo6exhom0gSxOM2Jc9IkSM5pgYaCzqxARxIFBm0YFzYnNsSzQmVZeQNqgDcOvsqzSg
vQ3FgjnnHK5qM3fXo1K+1jp53rraXurAg8wakAERHjneDC3rD4aBjic320M98MwEfXuuY5vZZspH
o6KoWpnoW1pkaW3Sb+rauHCsCFCth42vHpJym2rFMq2U/2PvTLrbRtIo+4uQJzADW4KjSIqapw2O
bMuYgcAQmH59X9jtSqfLldXZ61rkJn0kiiSA+Ib37ts1qUaqUdWeZ47wlY15PlCec4dW5IwqFcjA
1I+BVbAGNEhTxtw2J6vc6og/gk+2ykECtVH7MPpjvO3T8hxZ4dtUszTJwfJEaGfXdieerLp+S032
IXqerqcair6XRLe4tE/6WKznaLyuW/9Lw5SIeWTLZ9g6h6jG/z879qlT7SWp2lq7raB8zB/TiO8P
Rfvaz+QTBEpilAkWbQkzPpcqk1dp579Wmbjr7OaLhwuwAX8s5whqmbOW7UCpp20bYRyrPL5Oqupq
TNtr5v43fYnYrW6hSeWhwnkZ2l8RLCr2QoMJNliFLraJsp/vDWc+R3UDop9w5m2U2JRJpsPrwvbM
m93gzu2GzcV+mM2bxn5tNWRahfIfSx8Wb8oo2mgYHnY2seso0uV8Q1LnPuwTziZb3fKwg+7RrQ12
rKioOITCOrwx2w7kuom8FUVipZI7V3eDcIruZwns2GnQG8Yja0SjgQdhFW658yPdRFRAJr2ZObs8
SqLFL79oBWLChSfwcJriyiklpUuJmXtV0C95o/biWuXXqhFfwIJngVXlT/DITzaWRGx90lrj7sCg
3YRgz1P5yVNaePKz+JyMHo8JIW6IN+ZmcGv9Mpj5B7EN40bMw4dqNYosZ7wzh0kezLJ/Q862rS3x
MiUuNNAagDM5ekgICIW3Wms3qui5HH21zoZyK71p14fVWsjmxk8oE+GEzC0ZgXZNlo0LH41om31V
Tj4BoPajp8I1r9wHWLAedPqUXWxXLem4utzIMR03tWacR26DG7fy7+yp3Y+5lQRl3pNoj4fCWBQP
CSFAbOCWCBwXFVzWWkwX6/e4lmCdJhw+5FxvdI8puv85oShvO/Mu4zPhHNDZU1KBdrl3U3QG2zOM
8WGfsWcIXWxQMz6UoU93cY0sLklzfzV12hcQ/CybsyV6nIWQHV3HKbAxZJX90dL0csMXOu0x8N6N
JcuKQsbrqEr0tfLAqIw1Ilr0ZjD2RjQH68wzjzHy+MUQ9ibaOTnwOGYfYgFyYv2lxaAvEtiS89Tg
/HQUpRoySD9qP2cGgEKtRZhhuzNijvoctcClDUOyuRpPlmjTAHPMToGItDN5jSIzP0h9uETdeCeg
cmmhOSFqc49V7e81XRse4nlS20EZH5nPJIby7BbVH3nn+Wx+H4/8rx83GAf+53rqXP1WIMXP/Cik
dKz2qJCYiBhspRE7/dmNY5cEZsrk1NYdgkgXSNSPQgoVFDUSXko4Ua75Ld/rRyHl/oHQCmMEIKh/
nl9KLMa/deOUTw5OZuLEyMN1l3//aWDTzswEla2ca1h/84mMJiFZh3txba21kfihBXCmwHloZKDk
mB5Ct0LhU8AsUUn6TdEg8jNAUlGwv454Dc49TN4W+2lFP7aJwIeiC5oHG6Th0LHpfx4UBBtYf5HF
QzFzNV8eWqvRKdJ62xnJ9XShesRaFW1du9ECNZbPhkC3gJBs3y22xrbtu1Xdi37FoVmwpNFaUijF
Q1oa56Z08k1VpECtxR0eaIg0+khuJcA/WRXHsg5P+jA+TS0qZSjQIfakApH6ARsc6+yIVgTvQRJk
LhL+fHRpQTxWlyqkwsPd/Vy4/o0u6EBzmISaajM4WRzOjMMlfmbyOFmnGkuhlqj+pUNWQ4GXH4tE
ILitphuCrqft4PRO4ChfBWFfd4HpzuM661hfC+IZNpPNFhYE70bYalqnClDd4PVfNGs8Al3B/o9A
KihC/cs4yipQdrtNRb1P8C2QlJyfUs+QQUKShLKBG6X1cEJBrYI+ofmaK/Me48m2dpWxDbMwKLQC
tTRBYweG98iRreo6Nao7ONQB485jAjIhHplV9Bj0dJdMKpV/siaJXzPu1yTEQ1HN1nlsQXWQ0ZUV
YimRHhCSEFYCNXmKr7PKtt7kgp8yu3OhYRrM8iY9QSjaYQ95VphMWU/5gE8mM1lrTnQzupzRFrHi
et1d9QqnRC2a56haUHuZfZwm/b6Lxg0pYP0qHUn8KdM7fCinxDbXmQuO1XHmBMgOsmOJYx59cxgH
grhSamsXcbz5UeV6u9exO0OMqK5tvex2MeaR0swe6YeoPetVJeuLFktUEn6GqDz3cdbkKdit4mlw
vfXC+VbCfBVSVZTi9q4f8vsxs3ECLRrbRUoTe+zEpjYFHyWM+CglshXTnwGdD8Nz6RqLkrl7HsPh
SbfaB6tllgFYfVfG/iVt7UBLUXLZ3ScIgYSylOgJlJvJdZ3p68oDQ2N26j5MAVhUqa4oKiKE4hZ1
RlffEc/6ihDojdCzJBiTKUVVntSkfVh6YAn12CfIZPTMStaVE+NbqK6E67+XOIFXIqqNwKj0e9Zv
26SxHmQrdppZ3QyCGmlMzHtEud7aiwWwhVG7jmLrnLhSC4iL2o5JjiyQ+oeIk/cimsc9YSh71TcW
0EjPD0oNlyIDrGrbdeVrWmLtneBGcZfN3tEXE3QyHS2BmJslLW9bDCCCQgOYAl40Z+VoA0l600XX
LWQ/FEJVU1/j+31E4hJfQdjIN44+fmSJf5daMJIdExG3no/Qt+bp69Bj0+37HJ5mZFgBix6cyW2n
7yCJVUgM1L0TYmB2GIMS+aGBTJPJhOSosqnD4n0Wje9O3JWbzinLzej4eC/rs65ZYDZH+CLUMIgo
IU7ZoKdmEFQNKCpqhP00V6/lN0YVsCp3oVZJ8FVi4VhR8AGzU3iyR8M6RFDqV8TqLTCP9IyJ54qI
uN0EGMv1sYE24bHI00Pc1fdhXH/tFpIWHLjTBFoLZ9qDXFhb5sRADsG7c/R5LvJspNMDc7xxF0pX
Cq6rXLhd7gDBKwcVYS9Mr2GheyX98OQvvC9VadzTCwOMYJXXcaGCjeDBsoUTBva9glJigG4DImYM
H8PCFCOUKNmUk3WMneJ1nPhEdR8BD6ahTdhXT98COcwWUApI0jgCvjVlLvoYE5VQW332DettbsTX
XudiwIr7IBu+sMFC52/nHWV+VJJhW7g3PXRAYjl0xkLQYfO8v0YMd8dbRTsbX2YCUFAcUolFvWas
Zoh5LsMSoMTiQGAjCj14owdrwLonw5fY9bHd5clHQd+3Cq0B1zIbl32b9Y/4LOYA0cGMSu9bJOT/
pk7fpk4G67K/rZK6j+Zj+s3egp/7USkZ4g+U5CwNWYIuhdJPlRJYemK0WFo5jmOLb7kcPyol5w9f
B1/1DS6/YCV+lEn2Hy4mVVbe2AUc9oT2P1laEBH2a5kEHQsaOTwK6CJsE37ZNxaS7M5J95zrwsS8
Q/Sdta6E++oyualc9QzQ6zGbb0Nw2CC1Nkbt3aouegzzOQuQ3AKJR+9Vl9MZY3qkfTaH7LGgXF/r
ZpPupqb85HRIwKG40C2k8J1JQOVoQZ3eEDsFLD4whP6mlb38pHdYCc0wHzY85kKokSlwOEDPYdRc
lQPamNSMnwsEg3RkrzOiwlx6TTDQPk1pduvH5nvj6C9jD+La6cYzNK8qmCBWr2WdHpVCqW0XVf88
Ce8NIHZypEsNN/pA/pSQ6WOm8jcxufPBKlCGklCBuHvez7Xx1rfFNfD6YHJcQO+7jHSPGgccIZrD
o4qTVy/R9oOonttGi65cQ659urqi7Mk6FVvWR0y7kuuFiFBPzcIKjb9UeN6pHgEJOsO1v5j/q8Q4
WNUWuf0KCnFgGPdRfW4Q3nbZa23gruRP3LXtvGxg+nVuIZdkFMHsOzWQBFrhCmZ9y6rFL4NwMJG/
aSenqIZ91dGwhonaDFWKcNc5McObt5YTU9fk+b6u8i8NgrV1Z7RM1Buxa5w5Duxe3Uyevxcpx5MI
+3IXl0hvE9TpecnrQbZu7Yjezm0+iXlKIKyj9fDmdYXUbnRCfyFRnhAFXnLpXxc0+E5KDAfcw9MQ
xfMKv5Rrz5BZLYS8ubChwC1YgQhxbuAM2F3yDPNq7rbwzpOuIMKI9nhKfFTfBRS/zn1H8H0AyNlt
VYtuFpATzeR0O7hOG7hLJEFtfp6MtA6sOr0rdWrmmG9Ok+ajDRCvLkhhZb3vnWpNP+RedZbp+AZn
6ylu20+yJqeUiWu4nolJoApRLCQaCpMs7bB8ddW6r7NnlTCJnBnkBklc3IatZQZZP+7Jn6m2WLRK
AkGcYZWREm8kKQhG9NRAlSopLxbeyQwiiq3nKIqpp2SPGWDKTYyH5Vuu497Uh3M105ngO7iCVnkS
JOcZhZpXOa4zr/c+pcTS+nEEcdXIAaG2D0Ob3EulPSKFO4iyulKN9VE5ziEjtAt4w1vZ5piwaj7U
mdGl2RxNVZ1VD/AKPe1tXvS7MUxOlnKgEg576Ve4mzl4JmuPRPgqspBTN5N5lPlwHFpxI2Ir36q5
oeboXgaXmqW1Zsqq7iIV4P9pdq8a37izE3nMEmD1GUbPKS/UIe2NiyWacyRdhNI9JooJXEVk3LdV
+8yReAzH9Kxiax1H010pcoAj3PRZHm9Z6D9jZt/ZUbUvnMQ7wN/cOf2wBFx1+P78JKDfZFEWHegy
bwutx9/MODZWeBh98cKsOA9A5Odr31B3Q2zjtQNwNbvIgdnqv7C127uKs3piTDbONGeYH7B+vs2e
vxs01mU+ZVrSv5bgsFpbfJ1h80PApfeAfZHQBNPazVpZ3Bkkcgck4ObG1qtsnn2jaV4BeZ03jZMf
/UidLBzoY6c6wuX8YxzHF6vPj2E0YUatovNA4MEm8ctPfUKkA6j4a034u7ryrxvA4cAzxm1RC32T
2PpToqvTqFvPZqYBP0vv5+UrhFX0SRK5VpGjACbrqEfa8yj6i6nr1wK/MLbSZQY7vBsabVAiI4Tz
NRV4x3fR6Pa2VFGyq73iTZrmefJpf7uk2WdVumNaO6xbR39CDX9Vt/0KMzx5YtptD3knMKwHN1Ib
HJqfcKTez2y7TqVdy4OIwjtZlGdtwdiFdb6xZvsNgvmObOiVZcJwYWJtbYZmNPYZLa1hRB8ZFeIK
jZo4TjhdoSwZW12X9lYk5s6tmR5xUUj4Q9T2TiT2baFe2iG5r2n1JxU9hE27LzVa23Hwnsoh2fGe
HwgtfO7quD+M1k22uJBFHxipA7G/GPHKVpehix4SMbdrz+n3Wo6ZZ/YOTevczrm+byKfj0a/aHVT
4uaebntl3GdsBEGQkzrgkfux6nWS+Ezn3Oac9xt2jEa+UUOdPNlF0vHwZ4RllAz/Cy/vt3HtkIyE
MSfxeu5OZhQ4sJi78pbYgO4pGHduVPo3kHA8Zrt9uZm1pF4ZPQbaqAdJ06viE4kDG8sp0y0nDP4c
qFNEvy47yohNercPGROuxyXQour9/irNxwKEzvS1bFp8VhCBs6nMAjNt8Bgybt3Yef7cA26gY3ca
RPQgWPS4dbVVkTqEKRTRCYmDvJS13r2kwPDJppobDSHBYN+2AxmMuTez2xmIskmItrJ01AJzvp51
7YS166qXyY3hZVtrTDeuMT8RIHrH2PuoauyOrlkGRk4GXqnXL+Fgp4u2e9PoLVmfGWkgFrAZs+s+
9SnhUJn3aoXmuR/wGYGSKVS/7UIbaWv7gMlgWntu/M6T9UmYzR5j3EXY40eYmkfgsux0Y2ToCVV/
q5kvcraPblKcwyQ3qZALzOno2yXifMUR3UyYVb6vxux1nlV3XZslcFjng4yckz0me72ZV1EmD4U/
rOxKZOvEhWXopOatPxT3HShIvObTuijLhzIfSkYT2ZGm8yCEdiaUOaAU2hljfehCf6dlhLO79RFy
9bNjmce81K8ak5PW9LaZJz/TGLMkiW7HkEphwisxh/GmoRu26+6jiP2TVpIZzkU3juqo/PwzK00g
I2SUVyK5I69nQ1Br4FvMt8wCDO8o7tsMJkZXalowYeiYXBZ2ILLCHnjWgi1UfksUob4vlPGC/I1N
oj5ubWJeTOQWlBb1Kinzmqd79pKbCjWFTTwhchE/Yy6rovygyfSJ7K2d6c03ojdixPb6wzSg5Ujl
c6U7gs6ZnZTWJ1/CpuqDMR0U2gTzerDFdRiZZHd2zgap1cYK3V3qJwc/Ef42isJjn80fcrKvO4m3
med7d3IMLpaoGmwmS0y4YoJJN+HkeJdKr65Ki3kCa0ywluI2t7RT3kE11CJz27bkcIZ2DL2rRTBP
AMmrPeBE83nS4CsYsfx62IGG6nkkI1pqzis0lXArk/pFYPEguExts7bPMQHwrr1Q35NBwWoD01Jf
+fE+avI0QMlylqwus0ibL5rRHKUe1WsDQ9G6bgo6xZHEtIloEchbXycyhPS+vo+SkeyWuTgwM2BL
2KnT3Cyntm29jDo3WoomYt2MeHvqybrWs+QaBlVgpVZ8cOO5PZF1uiAPzWcD2szV0IS3fpu/4gG0
9svt7piLOrfkNEd3aL56MXQuad0yR0xOvlmuPV0eIikeWD0ANLEFJiTFIIOlCQCLOhI71pTsAOzi
K3oh3PAmEBfTe4B7cJXQ4WeMA/uclMjW6F4mvb5jqbDAU93rVI9IXE235EhMRPemT3Xuv1qjeYcm
vzraZlqCenYAOXbW61z4B39Bd6QiYQbT84u1Wt8SQAQfrbT6fUoOEaOkhQBDCI0w70c9NWgjGmA0
G+87MiYzHW1jfEfJ/NTx3XzXd/1M26EV+0n1tbB2QHI4hqtzxmP7/dW6bSRCjIZRJpdUIgcsz+08
rnzr/u9f5K/Ssh8v4ugWCgNMRL8Os7NwbEytbZOLmA5aeRaEAmrWQzc8/P3L0In++3txka5ZSPmX
+AT+/aeZeSiETxcgKNyNr0P1qJn/xZbym9/P5B+CJSBLPq5fP6uWDPOKQLL8Ug5caHsvfP/Hf7+L
SJNPiA9qcVv/9e+P3GVAa9fFxaPvsG/s/wvJ/I8p9b+4Nr5/1z99Pr80y5aT6Yzv+XwgbGtFkEGK
c9cW8/YPltB//1Z+81IubfciOrVRZ/u/fBW5x7wQEFJ2Eekej1AnVpJBqhVwDEPJ//vXWv7sP4WL
366uv3wtyyX+09cu9KToXVaPF2kGzN/IP+PWWngR/fbvX+h3b+rn7/+XN1W6qY+15vsLMRUvY0Lm
t5wjy1Es/8u19pv7Ems8jiHkOSyqjF+ENCZqi4qDt7y05jbM3/txY4ef//7t/O5y/uklfr3c5tam
VkIddym99zR8tbT/j8t5oU671kLARvf61++FDCm7szSD8B+egAxw8ykN/v4d/OZDYkMmnEUBu6An
kNT+/M2XWkl97+jVZXbfB/daLRuf7r88u373pXMRIz9E04SgCTHWz69B0oUsJ28uLrgu8X8vGxf7
tif7jFWZ+V+u5N+8lid4G4bueiwaf31OxiHsNz+1y0u89NSbZDGgb9yamfrOuPv20f1vMbzomv/z
yPP6XXIV/5tMm5/517jTIE9T5wxxcQAhLeGa+klhhwGJgEvMBosP7SeFnfcH8m3DpEn3GUN+E3f/
mHh6f+g2QcIugFvU38L9R1GbplgeMn8+7VDYLTNVnkKowdk1A4r/6/XY1G1h2b0xX6RscaBSYqwa
5CYUVdOjnta7cBHGDiCAQqk+CRXCBR2Buo/WsbXDnE2V9uj3xMzZ09me8YXauOSNEAiEiJKLQ1jK
FHo3Io90tHDKAMkmdtnonwfTPlVFtfMif69SA60daFuPsGNkZ+RBonW9d+xKbTsTpphTkt/rox/r
rejsOuSAaSTjrrza3kwGywYwqLvCTA7CJrZLGt6TK80bCv+Ljep8pZqyxzvc5+Q4TLtwRGcz2f4t
QqH7iPKwtFl1TTYwiyivBMJb62OoovQ8z0ois+R1JrvfzVoTBSZBRgiX9zQtYktKMiOffIgZhiSi
Q5Air5SIso1BGuhKGa6/zuI6SHJ769f5pwh6Vzfxp8u+3am6wRxbWeluRL6zdUW8rQCxgScGYtaR
w9jG68bK9YMxVUeiUJMrnciikFlv4DVEN4YZE8WsYlEzOPe1njiQv5suYHLMu/Ab6+LlzqEcWOcQ
0wYvtrXzA+O5awfsuVmWkKS68K2NvIdUw8idaObemsIPqpRyBcQMEoJTrFtGuris4PdqlrWv4rBF
BlyIB2ah2NNH+0APN66tSN4hK9+D13CD2IaWEM1tHVRJG2I76QWcVaKNZUpKJ+3ABqHktKlD9mh2
lH1udBq0viYrs9Nm486vdQ9DeQYRnYgMwqvitdbpYtsPwl90jEYBhyMsD47S7H3kiSEYNC87SM8m
gNAiY8pCJUhtmu66ys7rfdNGVXjvkWp0pTvxl0ir5MYDLXc1SyQ4xA4fmjp6YFzLRrQz9pYmu4Dn
/waFmr3p4fp5fVkdS685t23xtRoR5FjzgP+gf5Et4yEW0E/KQK+YoMcI+lC+9ID4Nm47n1Q5IiQU
VtB46e3ceQRPVdGuG+wzC1huCe2pG3QRWMO8Tw06FyeyLi7yeOXB1EhYxQM6qVYI5HeoJE65A3hG
+N3bLMNLL7JHxID4bmAXR0bNVpq8kyDV62TTpFW7TeLy3RfZOY60YMyjeCN8/1zm/r7jgA4GFyFU
mDySlVMHkRbFJKWIL2Yin/rMW0OenFYNKKD3vrE3iItee4uxxtB5Z3NkeaeTRnnrZNYbfrxjq7tf
kOIdab2vZ51NKApBxJf2Zawq41w2xS4XzLek6xzNsQmahg5aM+K7PhKLgHN6M9yHTNtYk3eUSbL1
ibNchTH6yFJqD0kPX7rL8ltIPBrL6uZVat1d6qiQDfN8ExMdGThmtzYH8rKSdKNpzn5esDzkC8Dn
aLCUs6pd5bF/BmAInyO7JAVuRYtv3cBw37tjtMuK+c13+m7bFU3geHtGaSkZVCnksL4+qWE++DL5
hE6Q7Gtdh3Y8+PhQ0vsutz/5BGCu1Ug2eVm7T5GGLFAvQm7iKsaXEHfYNngWrvw5H3dtaUzFdxPz
/05cg4L8b07cj/79y+/OXH7qX2eu+IN1JZWcZVDGLSL0P89cBO+eEPi+LRP1+uI0/7Fi9P+wDcfx
MC2hyFp+/M8tIzF/wv7mZPIgXf2zJaNp/rXB+Hbk0k7CUENlxQv+umQMVSJNO0ymCwQ/c3I5OkKm
3WPnP46zMazEBBvRN8qTN+d33mR9mmSuBS6iGpIsiIgn5AlKdedftZl/MQXdwqg5n/w4O+fKf5rn
+tEcyq8gHba15shVglU7l4Uk79ZZ1PPzThjFCYIE7Iqw90EnMV0ShDjntF8s4bInB7vS1qQzJZ2q
Zv1GeGVl2C9ZzmU+zZ+00GOxlvn7oVaPWdLdNL51nTDn2WGpvC+y8bGqxug67LurauiJuNbao+4x
phyJ7CjGivc8r1PErLWnDsqLt0wUQgA35baMtWclGclxpmNAvqbt287kOa9BrAO1LFs4B4NaI3PZ
1h60LBONqG7pXxAWXdpMd1ZRUk/3M6i/pA8J+JAt+ckj519qIrkkkW8VlVq68TX7tZgzEsWG0EWY
KfIrt0r8dT3oLWq4cIdgDETlsOwWfXvtT1Qmgz+vTB39CFQbZoL2E9oOsk8i1DMMxhSH9krZFRKy
0WEz+agPA3p+KFp1vGYaKeJNnnZ9w/YzSjlu4ii31mHF1g+244n5+iZrp53Ix/089M5GgfxZpVG0
G4XVB+4cwsqEC2O56HEBRn3I1D7novVXIADeZotqDaABA75QPXZl+ZZAzAlt2Fm4AmyrPUxKHceG
CEAnLfeVATk4zqSN0qs/+4KYqoxlFi6x58lyrgrJdrGwp3dyuutHq4B0U1ic8P1qkMNBkUM9pmmI
Di1EF5eEe/zzhFzX5nFSmb7yNUAxk0YILbDZJ62HoOTU2nbwjZ1IehR96IC8cDjMvp2tRCUdPF0l
uQS4DAgP2CUJycXCxZxnhFtTQR3RcBU3jXqamcTntvG1MvnMeMC/CI/Vd5g9IgN/jYrmZozRf4yd
h05sfmkb3CECQQ8LNDcgQ3FTjt1VgWaaDcf80oNoYqr+3k3JhvDMI7qptZ7IVydBFR7CG8VFxbA7
b/IHjovHmMZ2JZXV8qdlRxhqGzmjYuzc1xrz26pRzrlBnTzH1k6YxMCByNqJCbSXUm+2F92RYLR1
9fICNuQySuFzj80GAj7UhbVTnuasx38AcLX8kqEOU0z0wEiHuyoZlrBFCyWYPd0kZL14IuT/DGBz
O7d9mVWLEtkx3ouQVDJbZOCEW+IA88hAAjU9OAu/d6xyuKCN+0DwxREEzuvsxefcH29NQ9tRmgH1
rP0vYSH2hQ/J1yFAnT0KF2C4UJPGTZgaH3ZqSW4o/YHL+AUleMxjobruEtA7vvnFR+G8SbXhpgpZ
+RStbgVor1wy2SAd5w7WEq9jn2JnY34zZf5dlvFcYRRdH8I+Fpti0omgcPxPY9i9Z3l9E0KSRpVo
h2tY2kgXp9qnrLGP0mutm9n0duQQxRgL+zq9l6X+OZwQkUfZ/DhX1QmDziedLYHK1bQvQl/bdJlx
HWPbXLUybgFNscIhyOCjksC6Fah/QhXkAiOrOdiJoVw5vouVzc6bILSa06y7x87QrxKlH+K4u2vY
NIFuMg/OjG9Haceq4F0mSMoJAxZsfzRrjV19ncYFAdKu9X0K9r8jfzmh//ORf2ney+jjN202P/Xj
yEd/bS1SapR72MS+WZ5/tNk6HfMCrOB095i6OD+12eYf6IYcG1+H532P2/2XsMj8g3gbh//4tUua
jfFPhEUoh35ps2nXadhRPBFzAw7E+2XsUzskMg2uCPGk6vHGnPPMD3RSI4/aWItj6bakImpiUm9W
Gl8l4fTqRfocSDf9bPa2zraF1pZwD8QJm9oU6UHIWm7GNKFURbFdPREZ40wBhM42WvQjdMgkJBk8
tM3m3crD5KNTImy2RmlzILX0ASWruJLn4zZG4F1vurzFF5I3FsmbTQqiDjGvTwOCrjJUPlVCIsmh
T228MGPTfNW8aOSeRsxoJyGbb4OHiKezr10ks5pJuwcekF3bFKEdb3BbsCqWc8XMQNBYD7e6OZ/i
3l+ADiccMDDk48MI2T6wHXx+LEjtoGp7tTZaKz5Jy9kJqd2k3PN3MvSOnYw5zCLKkIhVyKlsqyYw
NNLlJwcWdSO1dO3W6jJ27UXLRm81oNlYTaxfeUYMmxj5us+jqSMIKzGn5mtmdvdJLu6Z4xQ2K5qu
vNHqbD6bFvLUWm4j6cQvhP4GLlT3EFYyoCoQ8GYVf6VnSwNDsic0Ko/1oKJaMIt7zbEHLDWcDm4N
e66hFUIH6+8lOFL8vuMqnF1nbehlfOkjMnsSSQYPSQjbbtSqOwdWsk8qDAJ7QN2+wl1lMD5JtDNc
6G3v6Jh4lbQeW19nKc0CtuG5tmXGgnFMFsGIFgWDuCtf7VAxS9E15hOrkgChoJ3Qof10K978Pyx8
uOEWXgozAQpuZll/nR+lIh5E5rfptSFiuTXzwXiPJz6ngbCS/wu++t/zb5ll/+fn34OqchJafvME
XH7uX09A/w8UkrB5HIbj3rcwjx9PQCSXwJohQbDXAOywpIP8aHq8P0ghNwnGMGAt0fMw/vsxaPx3
VMQ/wPR+5+f8OWhcKD4WfZfJVQI5iDXEL09AvbeB7lZFcZnt+Ar1zcrqKwDoiMXnMq22eEKsVRrm
Z2vJvQESRnKevksQB8ZKOxAFufYJyilZfCqCc4ZWvmfKegVgF2QE64yzfop8az/HVNfZkr0Tu9Fr
SxhPv6TyOMTzoC53AutbYs+S3TPrA4aNJc8nz+KW+HIyfirCftT31B+ceksOkF/5yJgZQDATJX/I
3iJOvonH6iKXDCHppy/DkipUES9Erc/zSmWLshwqrnIqwqJII7LHmBjfJaEoWbKK7Mk7dYQXmYQY
mdP4MVnzGZLwp5yQo2EiEJeY8V1F/JFjsw+oCESyCUbKl4QkP7YfTSC3c9W9DbGzJaMYa4yOYmHw
vRuLmKW8wNNM7FI6pFup6SG+EZxwqZtrK73Rnv3FMVzNkmlteoobVrOznAiYINkJTiITpSXtiaAj
cK6p/za6xQ3iR4RwXnUt61scw9uCwKjJ1S+s6LbKHO8mGgMaAqSqREyZOvqzXHvprRC9htg6SinM
PiiazLz4hP/oUWrItYsluUof0+tpybKqCbUSYziuWwrDp9o6ON+Cr8i1JTKjJg0rIhYrXPKxCptn
4qR6IK+wDZcMrWRJ0+rq8knxZ4Q1ScnZkrhlDdXOTgSfjQe8VUw4ePke0lQDH7okdlVLdtc0mXeJ
Vx2HIfyC4IshnkPMV+XcaQY6Xq1zTv6SBKaWTLB4SQdLmvhOY+RmY0M9oSZiW1enD15YfvYEHWpY
YLrLvpAb+RT5zLeQKpNHxpvayyWZzKdrXoX0xYFLbJlpcQYkbhjktIwoJ9R6JuLMnrMdDd8+M3A5
lAr8rdGqD2oaubYchm/ClS8VkWm+LvNTbPNp10ue2jeCQjnq7cpsG6a1rIJWM3SMlcPM/Ex5TuJG
dsf43sMXkrJpSjS8l6MHf1WVOJyIdRNYG046QW+EK7wkBL/Zln3HMDkJ3CUTTtNJhyuWnLgyRA7j
T2Ci8W6+ScLkPELlTHuAYmTP1+wHvoS9hgWGADpfeneKw20wGZzqYXhwM42sOi76/8PeeWzHjWRb
9Ff6B1ALQATcNH0mmfROmmCREgnvTQD4+reD1aVWme63al5TSRSTyUTENefsw6Df32EHyddMgFG4
RVkH4xMoVtqQd2cs8ytWe1wWOgsv5x1d9cTj9aOxMYnLs2YP94RO0GO8Ah/QLrYzPEfuOR2zN5K3
Z2Tzaz+SvzeND1mOgXPybzId0EcYn1wrHdonSO8jEKPEQeptY+LB48+c8KQBNmoxfRgc5JAlceL8
XucTEGpSfWqJNxhDj40fRAe050iWkOPAPINOvMXq9Ip1+zDXPbWLi/HX9BKGH4p0uLnFsW436h46
ScVwH/tEaEdQxoTL69F2FTXwCeTPP2xtZZmdPFzh3EENmht3zWC+d9r4It0iOVV4YWo8MZ02x9i4
ZOravPZwzcDjdBmvYqQpkcfsXIjnsTbZhLhtJuLDcP5iwGlYcq4ybcoZcOdIbdOptGEnSrDujNrE
k+PmCaU7HSr8PY2bVPuAo1Hi/GkIPVnHeIGWPr7uclFg3tW7E/xCKi1IzJXVTYOTKNWOooWzEocR
qh57XX2ajirvFZLxiWLqZGtbktIGJQenEsJLax1q81Ke4gNrtaGJkNMvIw6ntm/uYm15isB/YRoe
QO/QZ0p8UbU2SLU4pQZhwGIQMGGUtlExDnhL25yjol5X+Kw46PZRg7bYxoE148TKcGS1jQ8eIBue
pTZrWbCKNqY2cC3aypV8mrooton0w+iVWwLdY3pfAmReaqxgYWZ9Udmk2/N053y6xrR/TDDPCFr7
aXRvVXdawheVXMhY3JY4zUhOfkqN4jHBgeZqK5qLJ83W5rRa29TM1H23OOihSQQ36Ed5tLWpzdD2
Nk8b3XJteUskdoQAq1+d342BffC0OQ7r13bBLUeQ4EWs7XNJNDx7PX4wE2dd01/RGKCPH5BJekTj
aP8dYcsJBoYWGVabMLBY9kA20kvm6ha2pvYcaCcfiINsx4QtpRwXgv4Zx5+D9U9hAXQIRV53ro98
3aqiAMXbIFigTNW7z5D9rMp+JTUj1vGe06pQ+7ZPtMO7WeYrKyZvPe74PXvz4rLG6dHIAhXm/DqF
/RJc45Wors3FWA6oveVx9OKrvI19/3WQ87xfJhAgMaX1lssjZbMW7QrHOtu1c+Q0OrkhHx00MUBo
iawxWime0MtzQowNbPrOOGB4vZKyiw5lbL6L2XzH4v/GlYOcLJ4gSxubwicLhP2ewDOx6oRVbRhd
fJsSZiVOFO9tM7XZMRAcUEbuC/kiQHYsRjaqibeN1VXodZcdkU5age2yEtnk9VtvniwZ3mWhdzAM
ZV+R1X4tamISE9Lf11luPvL2c4tb+Tvm+dOIwXZHetctYtt96ndoUITHdHSCFgT6mGEMIs+V1aiX
smevMuX3Dokvbu48FkFzMzcpoQVLdlQSpnsCdoHnhLXMtEOr+uBV8huH6w0C7nKdx3wEEre5s4x2
xwFn7ZUkPjKw4DXEyBC9xTqUbm/jLCyuPVgeK0yWaJppC7ft1PN5UFGOgnqJV63bbYuJ5q92GZQl
lf26dBiCc6X2XkJTpj01FLkvbVtfTl7uravC2FrJtHaU/4WrhSWffcdM9YIn94DVB46Vih9rEATr
NMnPyuKqzazLJOwvYNE+O7X1AvlFWzu9586eztWEt0MlgQGHSFuMneipmE1WMkZ+XJJTK9vzFEW7
WtmQxhL/NnZq7mjDfRzq8byAAjPL5C2XTE0zAsw6MV+OqBwPczv3DA/dc2HRbboFB6ER700ncTeN
I5GB25fKXC6GVoh1hPh37S7uc6qK4kaE5rKJet8gQKi1N2MMAmscWGIr9v6Yb8oZZ6KHIm9pD50k
SrM10zdPUcP403Dj1QACAmJU93S43WXRtNgUhboAXeNzKIX7LCf1LChUSs0Z9jxcDlpj+UBTe3IT
r9gzEzgGVFuQ32uRuqtlDNx/QwD/accEvcl/b8fukvEdFfH3v+jH9Bf+6MckrZVmJvumZKtEY/Vb
O8asymXLxOKHcRACj592UGSpMLti6oQeg8bMYVb1WzsmfoG3COmPKcS/w1T+Rjv2yZ79TzeGbATK
MvMwUKQuoUQsyX7ftsd2iVSXQ/vcVk1Te5dGDgGefkeaHTGEaKKz62CwRcbTHVrcPGpYdhambIqZ
HlgcwQb59VA1xkoVk3F0nFKch8yYN8ruygsmr8X9LEp1PUyyviyTvvrWR7062YXK7qWlCIStUuxZ
/eS9h3aCvED64c5KW3ITvKavvsYmgzRk0HhYW1WvZJDvM9tSmyUvnTdOfuvDEMlyZ3duMoCshxVY
zjy3BGDS0rjNZrI5pR0zxS4Vg3EriiF8sCEw3w21kcf3ZupkUYcr2GqWI2oAFiwtI0IxbSyvjGy+
4YD5nzk6g8U23szKr+ZXip3xtm0tn7k8DEAWOGSjmVeuW6fbwkma9NFIF0evdDLPA+vmNi3ib4F7
1hkhveKuFUc5Fv12QbG18RZWBzDm/b5uNpYey5ljGzgXo57YUQwxvCv0HI/oTkZ6RqPHe3NSCsF1
06XHGd9KsKkWebdY3egdbD0lrBgX9mkeU2PB1D87OOiOfuMn492SIiyYW6eECBLzwVTngvTI0vh1
GPTPiaD1kv/9RLjJX7+9t38xoOarfjsOmMFQQErCxj6trfqh/+08wPaKrpWhiIvW+FPR9WM8Q9I6
eHJNFAkQC5oWX/XbeaDZISjByF6CYP6Jbvsb5wEhZH8YUKMDczTdXdM6bU2s/v2BMM4KpQcfjOt+
GtHM99lzNc53XjWO2zyIrgurSb8xAy1XySwecIyz3RQG6hpPfRixucOcK/F7gyCKqM1ISMak4+HG
SdrwrY2QBU25BvMM5R3PcsSmuAr3agzPfkH3E9fe2yCSe3dcnmMUOBhfcKnbtVxPVVwcMq8+iRp1
WuFp+3tQ7pbcvud7bVTP2dTiDWfwMluEg2BP5Kk891nwiCYaaUYWfU87/0zi4q0pp+s46g6VR4HA
huzW5pTZSV8AmJDjzWRjBEM66648m+BPEhD0ImvFPn0tmoGJu6QiUrV1oM8sdkFfdaQ69P52AN+2
FRmsH5AXtMUFU+1aPrQBWU9zQHMitgN8hRWp08k6KebjYqVy3ZexjyVveXKC78wZNi01DCqjkzf2
L4O5JOs6JXpIioTA7pkFvDsOuIum+X00q+NoeTtPMM4IzPgpspjC63o8h/G0wi7BFlyrijyCmbwr
rYuKqvapMpw3bL8XcBbx1Swbl4CghsTTIcxubY5qbAvunc87FCYex03V7lSeX7UyuHMT8y2bFnMF
op89nqkxRp56LGz5JUVYzvBboZYpiVQcGEEEk3dB4vSDkeNfchfzKRnTnES+9GIR4SMorSucmRdR
m4GRzPN3qqmv02g81ALrXjzdEba7M13jhXTNb/RVyACceVy3NTneizaX2V3z4c3zvTkAfGpkcObX
dKlSD9MIKBj5gSluG9r8OPq+qj2QVLZM7ivc027qo6GKvP2Ses6qLauvonS/CEKw1+U8vcpB8fmy
MIUWEUzZsa8urTFnmLE8B60oNlRo0Mjc0+DOh8rtv4+GhAUWiwcH1VbEbB5+TnNjmaqHuTFOOjSV
otiY040Rk9Y0C18f5dlT2vMmLagQVg575ZUs7LverbdBXdB8FG2wJX+kPoXEeFzZQ/U0dV/y5ih4
5r4USBkrDZONI0b+Sy9BYszx7aza4Bhmulf1umkPjxQ06KAkYF0rheQSs5806g/EfH2AXa3p2Z3G
IVjBvsia5XH8FC04FLvICaIwk/dlKJAAYAR6SmRabSWiBzNwFrCgkrAkiR5CCyP8lB1LGeyhxKCZ
IHN5Q8pGfkpq6W2Jw9VON/GlGh0oVHpZnsd8pEtFyxDTsSSIu9dGUmwiP5ju/ZrBRYXxc4qX73o5
QtaYv0kQeZiIPYaMWONlwp1e0m/C3YqwyXhXk5QrfOukpfjPCdKR2HfCVY+YBIf9MUFc0mJ7yxGb
5Mmwq7XAYEGGUtU4uw2EKTIuo6scqUom3XveXWvfIGLpUoQEiFoCxC2tkKyXQvXWufKpqsRLYXoQ
KBHEpHry0TBt1DbcJyfGo4mSI17jNrxSWlFTam1NFueXJmIb/tQGzwK1rOkdNGwocuwGirnIPual
eaxT76lukjObt7e2I8XFLLxrF3GPO1TmSjaxYAqqsKL1qPnM0Hozp/TORxzELw+VUAo8tc+8x2Ic
FU+IgNaofBpRfFCuXkajQVpWKfvpqudhmnn0PDbXXWwfu4hVdsJOG/QQug7rRHb2RTj0l2TmkSOj
1+C5cmMNhgwYlxWQhj1gvIRMLyQK9++GnppVQZPu+iFIwCuZV+QaG9tRr95tdvBLFL4ac3EZs5s3
9JLemuZvhl7bz3CP163CWt1JBKczRZ4XNd8UVhIcvshb2ao/Jj7jjLr+liwIpCLbLB7QXx6M0n4k
VKxYhzW/jdwLd0wpQHeG7L9cdfSKOtyE7sCkiNuh7iGPKCSJRc5nDVMse7WcDND21JrWzCI/j0qG
anj6urDvgq920fXe+bMQ+KciEiz6/ldFNBSv3Z8rIv1VP1dEREMC2fisX3Qs+88VESQQ+iMyWlhl
UYz8e2ElzV+khGpOjcoO6NdF/28VEQI+MN7o6hh7Qoyl5fo7FZGnN5c/t0gOSBGw5rwKRAA+PJDf
V0Qyjkoyxmfr2oFzkx2AMdtI1prszJZqLZfulvHXM+tgnuc+36soeDYSNklFDHMHsW9ACDPSkOmR
PCQ2/lV769LO02BdDCGO2GI6igli4nBwUuNLFUUc+pxi0bWVBtEZ/bS/dh3qB89iTZN18BPcefmO
II1J1YB6iuC9L54MIRoKo99J1X9ZquLAcDvaCGe8Qcoktgx7E/7evFhGpsq0gWfJBpcHOX8qjWEm
JNJ8T+ruQy32d9/AOFwNWbymFLkv/IkjbJJf1Gw8t4tkbb00iPZcUr+X4Kp05/nCkNkdsgYmkCUM
8YlUZ9bE/MOw+2DxLPmH3bd2tDakaBE4bicQGkNJ8HncNtgnxTcze0HYFHcuAHLI8I5quaQJyQm9
vt1whM5y7WSEjKFnEAh9azErxrCiD16tRIbjNpmgxcflGIMrKrMDgDs9QDaGFSSNeovaASmlGWi7
pZ/vEGQRdG+PrbV2E9Zmc6T6W5aBFj9Y3t6OlUj3jIKaFecKbxUk9VXXohqIm5Q5Zsl0t2jcl2pp
0VQM0L9lKxnEVF227fUVS9ZxsQ2D0MFar+ZbPpssM4fU3KRqXMeVW50CfKvkmsvkHNKXblQwdKc4
Gr391KKRwHRKjk5jI64yYrKqrWz4sIPK3zdxM6wbIKwHyzXexp5fH/GsevqJEtRqWO8n4FkO0nTf
A4N96tAotQUmwQQ0kMfcHLp15aT5jS9wJlhd6bIdRfYWsHfZy1yQTDZ2zt6Pm/disoI98+aYStXI
b7ylik68c1wfoSpf/Qo0hD0n5iE0iSzpTAhSpY1oRVh91tI2e4i/WqN8q2cylaoO3V7noI1mANZe
KK9SF5Ea2n0Qg64hE1Dsa0h4W355chV2zkeC62sl5/gD2JbYa7IgE7mlAN4S1NRRvi/fzAJ1JaU3
avSCzQhTfpaHtRy3FEsWY78Q+mxaQq7jmYtOLap2+LDshrcx0XnmdhL+hMQcgfcHW9L54FuWfVtR
8G2ghHUXfbiYgECoKFpzesghysJiAeFash2FW9M8zUYQrc0lJEGVjGk8Aowux+6LETXPeVVSHvkB
0pICzdxYgHxPTQ9q1pw+WWV1kzZd8nUOgBvYcRSDZPChvtUYl5fhNinhWjhunqzJoW2OweC+x/n4
FbXOTkV+vJ4C40OlvZ50Jl9A/Z/g3bxMrvL28LZAMRetPkSCM2/FcciCj4rn1NCyj77wH0zfuWks
5gGW463KFha2Kb+hBHgec4NZRzvd9EvrH/22PVRLd98twWPDwGdr9tQzzdASTAD7GbvAvBc2gta0
pNjxCXxTiElaP76LzNZZeRHb2SEXzYVjLq+sgxlll/YhqeJT5oXXvlBnYxLNZqYr5UmBWQZhn5Im
yQkthFXylvqoVt2sTw+RGBk7S2C7EwXZyUW0sJJu1a2kU7xBx+bMMocSp3ZzUynjHq2tRp5lySkC
RoHaMSLqgGkNL4mKb2aLu6O4dFm8qui2wCeLAhVAB7xssVrMkLZLf9O+duItFOpgb4KLvMujtt74
NkAPTphh36UuDZEzBftaWqxaUho38JY5J4w3A9FlGR12iQB0UMhtsDBrdVvnA+UTseZyOULuuEZN
elGI9JKcnGIrlGnvBejerSCAfJeRsLuLPccEihwSeUlewMF2J2Lrkegmcb6AFUjsvS0mjvqUVxsX
PLW2wumQl2wh0ITlMP05pcwGCbYq+UmddnQO8YhPa0gtd2+kKITTgqa2ifpoXRbYbzimhtU/pQ7z
WcfUQU3/vdS5f/1GFiwWwL+I0NZf+aPcscjJppqA9krp8jn1/anc8V1mQ7/9DV/1H30OYUDcynpG
y/wXt99PAyCTMsjyyH/hwUFS83fKHYizfyx3PAou/eog1SJ3/GOkj0jHkv5jUtdT7uNMwqSwg4eQ
butUi86nHjF21vFcOnL8wrr3ou54JFzw/XQpSaJR2d0mLH2LLG13i62MdnouvTXMeuMCkP6rE9rL
VTD078ptOgJ+AZHWeXjPTtk9lyPXzjyKhsd1bK6w/W/TKH7qCeZQLGZ2EO1PcJ5PsrU+sml+UjGT
EpldNzlYFss+BAmDIZZU8SopRI2EBiD4Mot8g4C+QyTI7ITJ3HvqyUflGl+z0XhXo85FDYGnTgpF
QlkV35sCLFpmGle9ifTQgvG6UrCxV6xO3uYYshu4TGudM6JhkAURe5irp7iobm03IqgYnJk3Sy7r
oR+3UbsfonOUHN1a3DWdCzwpfF80Daq8cS24QQSXXJUMO5YpfS4aAj7s8FtcOg+jE3LzpR9zpEXX
uX3ra4K+P3CDjVGHa4tt3DyQsDnkcb6bemi7TcDZ2rrzfQF4cdN7Sh6woaVrwXqPSdzA6KSSy7oA
QL3uQli9HIvdRvbRIYvZ1RWG2BO6kt7B4LIZnGMaSGeGG1bijBunIse5bTTkBS8Hq1WrPrEhvqu6
CcAF5v89DqgjQ6Fk04o+gbuTOochDObsqYwMLzrb3VI8QzpFTJqjpeTtG5f1JChnxymhUnH8jw4m
yBSP13HfAt/57MH6z36sJRT1OwoFzwAZin8tkVa4cyAuXXsmm0NuKxAr9gy8HMXPuVjs5BGz3xPL
5ukg3OBrlkwFl3SdXCuZ2hujHhDAzv5DUKqjKIh+bUNQ9AvuxdayHo2B43cwldhO4VLuR0VOTiGL
ZuWxyLzuSvwhJu+l6MbzBJbugU8AZlPpVdB38+mmnBkI+oOqH6JmfOtwmV94mT3iuYjfa4tqYZGz
yerUujLIBsIeCxulMByLVrsfDu0QtgcbJNZ94zY5edxe+ZDZ0LdqK4kxNtYPld9v+t5lzjSwOYCJ
f5hcBlVDaHAtAzAjU34G2RSEwMPbaV1A2906CcArDO04DpPQPfWz+TqF9bqJ1RO+ohorqDmzTazT
TSQDqt5JGkfDCNTXLFUKEFgTIoXoyz0E4uxbhj71kMNvWi2Nf8oU6/IRZ+O27YNFblqsiSvXCdpb
JazwMgZ8cvbH+apjdI1MAqoBFhuezGJsd0Q/T5veLruz4S9kKFgZZDNnWrb/3Ee/3kf/Uy1K9su/
Vu96p/YX7fdPelEWEiz/aKLxpes1JD32T/eRK9kscB2Ac9FJYD/uIzicPgsC80eL/eM6crX8FO4C
ZyCXpsac/63u+08mucB2LJMFpZbL09Trv/+JwtENs+PgSDVILipSdHLHMQn5TOYuyBzNFcy8+WBo
0iBei1tuIdRLmkKowBGqGS4hfivixFAIIa1O12g/UWZojmGjiYYJaEMWl08VqMPabM7IV44osv3L
WtMQZQUvthaPOKn3heYlRj3RUZqg6IBSRH69hg/SrUNh3gYmtEXlw9pq0/bZnLyPCenULlX1fWGn
j56lh5cZk7rBwHCCPONFDvWwSSxyODJEW2lUw5qrjF3ZZMMKGcZeZQYna8hSohuKU7x4iuiqsOI+
gwFmbMJJfq3z0Zhv6Sz9cUfuuCIOotLRSUSpmTWOOJ2xFEA4R+we7GoLS+uok5hsji+YSmI76pSm
TMc16dymoIQorpOcBjP93hPtRIMXQOb0nZXor/Lx0e4qj+kvWVA0rUzoiIfydE6URWBUCtWNkh7E
Fbyscd1V44Ubdt2pMcs3UJ1puynzuDK3TPG5kt1C2rfNZ6AOFe8GifiDGeN985hFdBNzPK7rl1JW
TzR4SGyXqbrk9p/XhhdsSw+zY1SjBK6uOqvbF5Ajc5J+Jid8YY7EjDkTMxnI6W4opXm0mBvDpetm
IGkohkIXIJOp8xB4Pc9+1CenkUUHWRWWWvlWSCKKEsU1wIwH1ijYFGskFQGAOvmJqus1tY60Mlhi
7SfMzlL+ebHnW5IfMLK5HbMRvZ5oa/M+YrMUNlDxllZcN2DyDEB+lAC3TuodIcXus3E4oMzrNiOA
vd4vrqcAnOxko64BwScLfvOsvOPUGcCvps8OrD6viveKqw2yOrseaH5kdzzU0P1aKH8ttL+kZy+l
8X9sf+u1q5GAC2zAaVRAAi3kgJM3XyI5My/4laerYUjfU1q5seW1GXPkbIUGD7oQCAES7AVEQrtl
oKERhf2Qn5nl3hUaXjhrjKEw5H0yqLfSQPPTPbSDZa2xkd1G8A9r2qayXk6taz2ZQapIP4fVCjER
QDmtMyOopMu+FhqqaHh0ZxqzKOAtxhq8aGkEYwOLMQitamsW7PvdBXMqtQFjfpvLrOqMTQXN0fad
N1Gb0Go15zGKrxXcx6ZVWhb7lGsgpGnPu0YjIhNokCHMyLQorwYNkSQl923UWEms45eBBk3ChrjI
c/4ZBErVg6JUbXH0YVOOOgxewyqnSQhMog7p6J8sS2hbM+stTbiMTU27BGn/JYV/WTopG0lNxDS6
A7jPLx2kTBWMW7AJ+1T4X3tImsUASr/idsdRuu5hbbZR/TJr+KatS1CEW5c+XE7fasghAeWGdV68
JLA7Vdeucw3zrHx5K6B7wva4tTXuc17GszMCAJ0ggYYlTX3Q1ocYRmjiZ8+pnV1GZvfolTjZ89S8
66GK2nV+julMM3N4zgp532r8aAGHVBY8amZ7JkuAZgBQaTSzZk1hl+Z2c9HAMuVDcqo03DSGctqF
IBo09nQgC6Gwmw1OyHw3dibuEnVhBNaFQaeLnss4ShiqJizVvm2OBWxVNbJOWrLLiaiuPl9u+zHD
MlM0ZwGVdar5yPoUYEWXP4ZwWzNk9bJxjj08107WJ+ZqR0vET2OX3DtwXxHj5IxSQrwEAN9G/y2D
EGtpVOwCMza020tS9U6lhsl2UGXjKrtIoMxO0GbZSRNlgFTDqhpznSIsliSIlRBqwSRfJBBr/6lN
PmsT+f/0yp+5dO2w/Lk20V/5U6/sMIDDlqdhcp9ekR+1iY0kgquYGgMx1CcZ57de2cPaj52ebGWy
4qDP/dQru79gQHGY5FlMuD51FH+jOCHU5Y+9MioswLH4A1kS6Jfy++IkCI0K+5kP+nNKKnRR0EFb
m+4pn8rnBCXR1tYM0c6mockzFlXQX4+NY5EdSqICHhh1gs8oWBUQWNqbwyGqoi3qDIe2sOIyLwdu
MSZMqZe+qRBNv6Upp2PJs5Br8qmnGahGPQc3cVM8OpqR2igxY8iD95qRIBn1LBKTZxCfD8SZldee
vuGQ2KrVoG89c7KSU8FFGEqmwlkQ3JJqNq0mEoQoQYZdZBMqVJIu5HIDpvU078yp3BrddNeQQzTp
QKLcaK5GlPmRbPaOjiwayS4qvPaerTaZBHN17nS8UdSLfQZGDylF922mA6XdiMathythLchHwrB/
T+uxY4mK5022DN3b5DiSqWRZsbdWk7oaNRfSX+CQf2YwTcz8dSrTlKH6yFvdlC93YaSTm3SGk6fT
nPKEW7kg4Al6xynQiU9AEbcLEVCpzoJKGlKhiG3YK50T1ejEKGMkOwqaHbQgLHYDsVJC50sJgqZy
nTjFIX2XYvKuuu82gVQe/92gE6oSnVUVW91rTNVBd03VIAm0SnFHIAdPrRWUsVWlU69mnX+F0Pjg
E4g162SsprDOjc7KMhtSsxKdnwXwyd4jD3uQC3LWbAw2PmFbAMOCE5lyCGGYOrgEcjGnHNegbHZg
Wi+6qr9RRHf1OTNEorwqnellOclzIEn5KnXeV6iTvwIiwBaiwOZmfrGJBiNq7avUWWGFGO/GDumO
RYwY33liWJ6/jx4JY4xF4DRY802q08dCYsgCnUc2ivYNZr236lvLPiYEv32NjcLbkjgTwGQqOyRA
CzHd7OTbdKyvyGvwTnVUdbdTV9l6MB4BTBA1+kGchYTI+eo0EqLjh96uradDL1jsOoIxSdh+CSTX
mpxLyNk134KlQj2AWVHkcAwOb7GPHNYo4uVR1BWuMntWa1F7937jXvTW/J7HTbaxMucuD+Powl3G
7VLguIfzbgWANTMXYS4Ug+/pUgfHvvK+Tx4KGACtyK5H+H+V1d32DdkoYXsOM/wOHopEbBik80Cm
wb8ktzhwtOvdp4KfZr5iAsPEHHbepVb4kdfhTd7OA6vz3rwe4wFuzcAeLFzyi8Yuze1ius0hGpCr
Q7PHwHBSqd1tktD+krIgWLkoGi5jaZhnoVrn3TTD7KEyZX3IR3/G15XHjIL/uZ1+7ZzpIv/XJLf8
16l6bYak/PP1pCkuP64nkzQKEKdIZ/UAVvemP64n6xfHd5GCekRcaLPlf1pn/xfBi7DJ+bJMmwkw
Dfdvm2vM67717/+MEfHfXFxr7e7vFte+qZGf6Ayl0KSbPyyuubCKaZJzez0bKGXRmxAuhRSu9FPQ
WXF5nUj3jCw2vnKddo9czrltIDOslsi8E6G8y9rhvTLrZjVNMYz68SL2rN2IQAsP1doYoVqX1qVf
WpvFRpoxyglAjbg0c6wqYiiuEETvwsi77GJjV83GLQOwR28un52p58hq3n0Wp4ho8RmVxwwzTWwY
eoshjo4fP7U8vIY0b+csvxrIUgBWfzXpgWvgThSDy95hgauS6NHhQjT4ibZ5q96CpD+H7On6VnwV
Ub4f+/5Uhu6uF8HFKJurMI6vAgwQDKoI46uvBujBomrOdD/PnmRVAgs+YMxqZNgnrfSqMqwtWn2y
KpdNbI5fgqS7iePhHKl5PbKUlUCZoeFftTbrpuCjA++vbUkDfP3htAT+a6jgmLvyOU3Ho9EFm9Hp
SLFZ2MSkm6JeVm7d3s/dDO5qSq4jx+Nk5zhK3UenKw7L3N0Vfv9W2hOzwvIKdfLl6Gp74HAq2vkw
NPDXovqDe4lUK5D7YXAUkbzzYoxxrPEPvVeyWMvVORs4oKyZmj3MXkUlseS56xi6wCofvOvB6C8j
W6eDjsd2gZTtGXdpMB0tM3ySOoc6EFu3TKxVAyA81Cj6ODSbtS7PEz9XqJ+wqOQzSZBV4r56I9OS
upn2fu0wlp1q+jVWt4Wa3nAmBQTntpHZbLs5UAiIOr9NDyjAY05cuGDXclkInE5ht4v92DLxD/DQ
bkY9W9ZD5qoZcoyN9V1W9fWpdHEJdnoobWHNOk/OMm7GmZTNnGqMeQbAduTP6Z1t2ajGzQ4mYXRI
S+A+UAT9LT/Ssi5tnBaWHo5zrYM/0APzQY/OCfhwoPrP94mcmw1IEMz6gpyqRQ/dyQtj/88cHtoe
cdouc4uUGT0GQOid6YfSw/vAsB8MpvkVBjOmrNeL7ewk034iytUmY4gOjuEdUtqZbd6zQYubnlu9
MuDfsjzgaqNmiLaJ3itUxJDpRUM9dj0EIJYPtFaQ+mv5RolHDLleUdQdvuNOBriK8Cx6U/o9MJgt
jxKV1KiXHJntv0d18LWc7UeHLQivn718ZXZEi7MiETUtJ0vFeuOUKXdrhoBwROZK0upG+Ak3VnEC
fPYkp/lj8MxTyi6GsCyCwAysQGxpsGBugyJvrvDWNbtCr3JsvdSp2O6UdRxBJMy6rR2PYjNIvJfK
Kl8USvlN1xTfjUrLMifFHge9zS7NpmNo5PvUpKcNlhFRC6Q70OTXiem9sdJ8m+RIfTmRTsvAjjE/
HaQX5/jIWgMhDikTNSvTRtj7sLJfekIEVhxTSF3BHEZDtxrc5GWOwEEFhvyWhE2xcVHUsJZ6M4Z2
09mo7KfQ3DRl+CwY5K9nYIeLPbAQA2PPrspGGt0OzHbqh5iJ0cZMdRo1UXDoXsIXgeCC0WHo8fkS
O9iYSPSwrW+XJJshAPJYtsoHbC7ER2HCUhrDSHOjWnRCiVqpojmSF+Hy2sYTvJvrqWBXPlMD+IUg
y9aEZDM+laZ56pVP/okBlyNBYroazOkyi817FfUXThk/YJEl3yslv4Tqa+VLJTbuZFwm0AXxSWSP
bUy1nTDj2uReTShaHGflrlVdFK+NSptoIVYRTTfGR8lOBzmCXJWmb+yJt0E5U2I+K7ui2tEvwCCb
b+uiK1eeNeW3STUm639qkV9rkf9pKdBT/PMrIKK/qER+dhVAl/Ut7nqueR+fEX/1oxKx4dkhYnG8
ALIUQLv/VCLeL/hybY86xTWJWP/ZZeT9YplsTE3HokABTPu3pvh/XimTX8q6wLE9lgm2+QdPQTeo
oSncWV2b1U0bye2MUPunAu0v6CP8fD+VOvT0JnBcCh386KwxHKldDT9tCZDBZGLwhuG6k+kp8Z4M
8zoge0MerPBGjQyKf90p/VfkuS1+/zP9+TvqV/TTd7QZsiasDAcA94Ox8j8bmfmzqal0f6Payj+N
PURMV3c/nbtzU3RpTTiFDpLr3mOxTbdEU2YfXcHQbEa4s8E3is7Xj+EKIM3TsdA1+dCjkX0Ek/FC
Is9NpQOkMW/CMYjwApY6XlrYMSNnHTld6PBpSQo1xItk5zieAFqDczucp3Kd6NhqTwdYl2ic2DQn
94YiF5GMa5/qDixItfKS8dIgBZvMd/JYwv9j7zyW60a2bfsrL24fFfCmcTsAtjf0oukgKEqC90i4
r78D0pFE8ajEqHjd6kpBYhMbyFy51pxjIlavYaFhFnYnc7gKwNy6AZTYslQueyTJ9GF2hcwwICVt
u8QWgAX7rlliuPviqSeVeySdu7eI6VaI94vJ7dYrex/FxuhGZjkQKNK0kIWnUyms+cbqZIc1nZTo
4qZEf7Q1a1yfxMhsa7K5uqu50vkHkTdwN7JQP3Z0tM9oDo2t3nYzFAOtptVnH00ToZGeH+nd78Z0
ALUUkBaUnvEZ3zM/Ri7GcJP0EFK71fhFN+RPGZK51WDop7HS9/gG/D6tjl0wrLBK7HBKX8q4P4qg
9uNxOiITOAq74aA95zJuz+HQ9vJ9DdRY15nP5MV8R/ht6EIMSM+xKC6LtAPoOpzTOd3LJWCQscLX
mnYIE+vRhvHaM/jUAXO3iXVXdxPde0kO12pewUUUQ4ciSEVlGtfTMSOict3aKoQPtvfhQo/s61bQ
Y1IiUMtR1KwVMlqCLL4UhXQz9Ajiaby6YB1WduzQUu0+WRGNUMVMrtRwWDkiF0jxFfKfTJ8AlKtO
lBEeb+bVg74Zmn4t64Hfmbh4FNkvy/JmLvTLPKhJqR1p8XdZ2l+PU3SNO3CHAcfnCP+gp4U3WkZD
5ozEXC5uvhSMsTADIndiHDJjY9FB4uKP+CwP4aEgnanWFUzolkOiF+l3mhavCAAFFhFeRnF/0o0E
JGsOBtHAAF94YgwObVtuG4MO7twtYUtnsNa+SmuZheJqYrDD5IqKT9ODNbqID3rTYiYinKBOmXkB
OZm2KRHFuyZDNUBBQJimtE/b+batBhQoWUcVVd4kPcLNhOg1gVzCE7b67IjkGevtqayzBOAJ2Gha
8RPSxQGFQdDb2383va+b3nIW/eMBvHv+f+5z8/G5ef7vjW/54e9HcEK12VJ0bKyowRdc66uND9oR
mw2NY2bHOg7Nnxuf8ZeiYKpl51sA6vJCXv1+BMdea2Irt8G1MvleYin/QYf4102C7QgNOsY8ROoq
pCPyBH7dJLSIVPZuyvVzlD/N7XkcH1/dlt9se7Ssf9n4livActJoI2DZc1jQ32ytImh1Ep5GcRaz
seKk9WWq9HMWoOJpui905Xzm0QRB6UiDFKnYYfvbNnUC8pBYFmzv5QYA7KawcFS0BGqLaK231SeJ
wD1XdY5UpMhrunRw5yi7UHrFSOGnd7V2EeYtw/ERV1rITfQM+s8TnI9pbt1BNnZj1AacgmhVaXlk
wlKPCQTR4+xTrS5EE/bNlY4cG3NOKD0kvJe+k+ovAorCulOIFAdlWh8U9LVuqNgXVmVJq8xuHhxC
BFeKip+v0vWBXiSGGE0tu7XScJ4gV/PQN/ET7YmjgbPWcXIW67Cvt1lRbqGdz34T1LeBkTHYjE82
2hQWo+JJkvGDKPr4hUk8rkcHJQp5WGsBKiWsuhsrySHyVTutRkkkS9uiEvuukkvPENPVmNr7ZB6x
zZH7hwJ6X1vWc6D0uHEsVKyOhG8pfu5gxbmY/BGf2dssTC4kDD4M34Fjqo9tGu4dYW3BRB/1gmil
Ru1PmYY1L9cYJNdbc6JNXerOhySeu+2cZpdNUKYsfNGhi+VHjqKLxDXZ6xLZNxkDeXXWODzODGfJ
t/WidoxWwo53U0avxEgMA3AqIL06bt3STJ+E7iCuA8stwwBHhUwEW1jsRxgGjt7f66XmkQt4Nlvz
kU32Io316yiHriKCfGPp/Skaml2JIj9EwEb+G/ufM9CSZAKrZjdkaBBomWT3iHw+KIF1bwZiXTbm
3gYLI43Nk6l3hCh2ZHxp7WPJH8/sbQTtOX+CMgxhChdCwDQkHY/VQES2qEM82RNU185uCeq2iDM0
rSfegjUIxMcwCFiV2y5ZS5SCVlV/mcpka0Pl0LXqSTTyoySR7WVNNQCLhLaC48lG9nFOgyvcZTM4
0vCYJk1KEHGFs0KybqMZCH8lIgC/sEPlHPGxktNxqpAr2LNlnOyxLfYxyenIymjbGuZN4ugPomrD
NWlWC3VheXuS4UZWCGgSlc3hdKh9ox4ZNijG9WjDNhIErR+goS/UYK1dOVkF0oe419XQmuewU0n6
Ahsjm7i5nDqwP+Ip7VcRWu6SE7pJoEDe9EELI1WipcN8Nj6PTWwea8oMnyYAu1tahV4jLel+WRn5
esSoIxOSvOpmlH9FF6TXJcrUzs2FfKhMAumjCboJGXQdR+5Kr9odHComI9rCEVTrdstQLlmFsTia
SsgmnFbFRpkNUhVmB5eeypapZ9WqpGGOYyLOLixU9AzBpPZq7vmLg6B6MebpQxNoz1Zab1nfTkmk
5J6jADabMukY0LFZ+jqGm5rG6HVZmd+UBsR/eMVBdi/S4nroQf3g3LnQY9tlZfGaRPc1SxF+WRUH
q7ZYEBU+tDVcFUILvYq+GGvUPqyDLSp1ItITr5q7I2aRTWREJ5I171NaSpqQ9wO2HWYmKRxORD1t
3JGdFpgHpZPpA+mx9bEa6AFgCm6Z9NRDfpsq+bDu0VpoCNw8DW0cBvs55cgfN6fZTs+aWm0BJF4p
NZqhjES2EezWoubxWfJ2qhIIUsLMZpdN/Z1Jxneu5tS66On9thHRahq63GHNEftBNsunQu8Q3MTS
F+YghFUIaJlcDv0d3JWLUmPQ4BG93W/7JOo3BW28DUs/g76aK6giuy3IycCRIzt7AQtyTwgGMlQD
HwFQCvwDJNLppXVr1CWtIILTZjfHcutPeoDyMq1vzWC6tQtjfpiDIvYyQdyAIULFtcjh7ABqbSqZ
gFxsqqWX8YMuQnTxAIQG3Jc9xbOXxUPErhR1W50+m5sOiIztvPGnvHw0e9Q9UN2QqgAghgE0Wfu0
nu5kRMh9jFy4rKI7kam3tqidwziN/a6UUBiVQQZLRZBWUcnyI8JPzddGvX4QZkX8Y4k3KY140AEo
4f0MtAcVtcFNoBrj2haS4yVCnt45Jf46HmYCDRPTVCg1mEQ7GPjfnhHznOlxmBTnjvkuwsadwSFq
aNr1n6sA9ffX4ejLgU7jtX9bBHTWnKdhVJzzLDtBd79jVSIgM39iuYQ9MQFmaqZs24/VOrPTbatG
QFdVF/vogZXqaBDpkTjpFdzwa7OWV1okPIFtvQiDz6UwOZvyCuizfTblkHLtR133mwLmt58cjIlF
npNBTByz/9enaCMXZdw5aXEeMK+H0+1C6ojK458v8oZp8FUJAEWFIwwjFUDe1pvvoRVpNeWp6M9V
iDEPAPwOJJlOiHPNvtH3WMWl/kGqsvKqcHgGHXk32MMSzUzCyqLum5OccxQmHRFpzk3BriTKniMl
pBE0gmzl0MQXr985luI9B3zuucp7Y+YDloxlLo2k+jntMrJG0DvNSGeDVjFXURYzde+0F6lR1xB1
hceqZAKodcAV1nieIrTkbEULk8rcAZD9jD3qmZMVrUIssuCTThPzYdeyJmkrK0NyAr2aw/xD5h4q
9Isjh0aLEocfAqHkt/VgsH8o4dHIiYxtzarbmsqw6ku2uCU1ka5Muqpk9QI0ReGPM0dYRcuOgfws
9LUwrB3r4qMtofaxBmU7JfpjpjURJjNcT5UJoVaS/Vmn9Bh5zXDyMtMZpXzbdLnB6XHcg1J5TmM1
eqFnsWHWmftWFp3UcmZe1NZrQkrpgarjdW6aGQYBzrTmPB5qq/1mxf3b3g29/F+K5m/Pw6IL4XFY
RmQLdfr1UwdsuCz4v+5MB+xZc1p6yFWfnU2JiQrr6VPYYqxkFuwp5ujb8VecQ3birmDvQkq1BaF7
givmDrN6Mkr7AYt4tG4Rxq2FkPVdbqgCZTbCQ5SZBOGWer5V2dT9QYmXSFyiB0htvSbAmqaMUd+E
OSp2AmVLdgNa0x0jt6Kq12Y+vzSl+YxAFhqxUlokzap3pjpRO0+4OzvFxxFVe40hpfSTzQdsmbsh
UD+Z1pi61cAy4GRbsxhvAyc5Wn3j1aV2g5mUJwSf1qTeGH1/SpPopo6N69zCxTF1D3aKAoK6UV6Z
NfGxUd2v6N+hMlhcfBrKU5nGkY8J8VnimfAqR3tUNOlBiQh/qrtZW0UWMrAZ/KY0litFbzYymGqn
6CEjM2SJel9P6Srb9nCwYDWATW3Z5hcfQ3erDdXZscddC2UHe9RLDQKnsMxFNcoMq/BTwltIVTla
hbkeSvKwQYp5MeYS1Ymv0kpKdySqrUrEnmZGGkxFQYM+h3MJL2MvOVdD3X1hVh+gO1icLVjWO5F6
JiFLath5ikISPLitWMMMaCthvtLDGUwXFSoakyMY1RVE1/uyRHYvxZcEBbthRBhnKh1ydvFoCDET
Zo991a6BzBXODkqforBrZsFADC8Jvk1e+UKqE4CD0iYZ7MOcYBZxwEMOSrhwnll0Z1VBLoAVcLAv
QWlvw6LDMlkfi8VJ03WZRLLvUG2nzNrr4XCovsqRF1MmnkVGouQiRhXtr5ZTQmbiCMhX9NbI6Rgu
TWNlpbAR7XM+rs1pXTLksvp7mjTMFeQTQ+AGy4N+TKKBbOEgCA5C7S2vRZDkWdgq4bTgpadu2CJZ
bP3JtLZNTxVilQhgLIy4fdAo72xt77yp2psRtho5E87PVNBFpafYnvJi9EZUNMFwkTYnaOHfFA9/
uzZw8H/dR140Y6AQfqwMi+H89cqgRlHB6YKVoSw/k2rUj/AVj0X4wEDwz3vS0lv/rystkaJEpGK3
gvfz65WGlmQhorZHEpMm9McxObdIPRaMSLmLSolnbuwPVQWxu0THdrJrdNhmUuL7SPAAAY/jm1Gk
L1jGrsZCs10G8x+kuLwoZesmo3zj1ON1rXozhkTpFh14xC5+KhL9Xoqy6joUab8yiDLY5IY4GIns
UlisJrglHiXepug0695RnZuKmGo6KXuhQdPQ1MMcTjujci6GNDw0bNsWsc2pWvAywbeLbG+slPu8
alZxFuxg5DAVHW23M/LnWZ4MLxvCxxqVOLm7QQfDRQvfuau/9lu+LeyvbyqYpNdfHxqeAtCQPZ7t
8SmaP072O+mZ7/3+NxuHLGXUyGE6EXNzQ5aZW2t37zwWf34qzDfPX27mqZyq4XQ21EtsTi63SY6m
b6O0v33Il7vwUxfy/S4hmqQkVRaVyq93abTaAZQqf4Wjemr30g05NcldPFrvfBtfw0R/Xuhr+0uz
wEnxQjmUpsqbC01JjPpprtQzZcwLm5p/m60DHzaIG3v3buHe70hCPn68BgT6YVw9E636kTe63Wq7
P99Vdemz/fwg/73hvykAnT52KidkGenWvS97uMBvxCa/itbOagk7WCsb7vNa8QiAc6OVw6B9pZ+L
lz9/CuN3n+L107ksPq9GRpC9Mxsp6HR+GHfqCtHc2rm0XEZWbuRv7g3vaPr5xjlH63Fb3Bjb28An
+WfLuufOmxJOkk/rzHd86Si2xaa9iGjcu6H/oXTFWfamjbFzdnCst81dvr7580d/O+36ui6+/uhv
bqCktnFWSTHPpVu61br9XK2rW8UHguMHfuTHq2Kd78vN5ctxJXaGx4E92TNO3ydnfMZesCIz4lPg
ffjzp1J/bX5+f5B/rKFvMwdixsyNZfKpop3jRt68zTfBbcFohRm7i9vbbTwkLhv7XG/VJxppqz9f
f3l83z5Vpv7zPXqz2rDUSFNbTeNZnsuVNQyHWUrPvZD/I8P72/d1WVX+dJ03q44Nxqjv52w6U1O7
/fAij9sBJypcD7mjFbX+81/1+zXux1/19jAp5Sz+Rp2IM8BETn7XVXj1/3eBN2c+bbSxzuQcoFLj
oCb0AZ33psHvfDHW8iK+etGkvLILCwH0uazOLTTzSiUlyX6nVHjvPr1Z3FolAxFtJd15XL6VOYM+
8s9ziOH5/XzArDcPmIDFIFBYTOehH+HznslU85gB//nreOfpst6sSmYQShPNOXaDkVwEByVs1l1o
mvAshLUJlOI+/A8w9m8f6N9+P8ZX6STUGWcZv7z+fmzN0oIq7sRZz780yTrVIpp8mz//Wb/9el5d
481Lk8HLlepIH8/EVtG/v8rzd7oK713gzZI4p/moJWXdn2UWbZrRqZa984R93R//9OK/eY6jmKFP
kPEcczZwSenckwlw4ojg7RsvWoUXws0Pf75rizfij2vN8le/enUU+n9Kp0bsUQ80hgtW1VPItd3h
WTnOu969JIyI/3CNVe4hub6S3Otutezql4/1pbbn1A5iYjV17rbwos17H++3G/mrN8J8++TEzSAr
AS+dcrFs5JILvFXfFYrnphvdvy/cPYkOhy/yRw5nzd10QEz1zuqlLsvTn76UN997L7VmVDsTtYTf
+7MPaF0F937I/GvnbB7x0PuP6jpwCzq2a5SQG9uT3lmh3/sI1ptTkTQKSS+GqjsTPOaOBGm4ySdj
TQjQQXwet9UqP1obaSN9CR81b9ykFwSRfX7nOfn91vtzl3jznKS9luttwaOJjXtNdrkbL1XdLvVu
+9242yEddOczsaf38rr083W1sS7xw/liFe0IKHzKvHc+z1IY/9e38vN1N97cEltymA0VLCn1St+Y
GxPkw3pez8f4oLgveEbWqWfvqi1NvePoWXcrQjj4irpNur6J/aVI+E9x8C/wTWcV+tHi9Z8Z1H+L
PT8DP/nf/7mJntvu+Tcze37q+8wezq22RBThHzdkx1qyV3+I1TRS0jFpgziR2fiWztx34JvyF5QT
DF2LtQvV2jLp/8/MHhYcPk8a+l9n+f9UN298bSr8fJY4tuiEwS0WMVzxqOOcNwWKuly8yuqMuHIL
PqdOT07Rhw+YvYlurqWLKkI+1TJCTjN1pLNOXvAEcMiGwOz3o03PPD7RZbhFB5N5BEzaC/GoctsQ
15Otbe1MQKcMwOQrW1JnVjkx4u7ADJwj+GNrdIDJBto5TG3bsX6OrOQ0deKzlUSrASV2JzGInJQK
y5D+AjFmE04OsTttCaszzsU2qZpt4ziHNglXpLWuZ5VMZPq0rmL0R1Mt7yz0cINKi39q9HgTzepz
1sDtleUHJO7G2goC4VWM8zcN3WrPQY0PeandI9vv13ZQkYMobR0tWaVRckO2awXFQ6OLXI2EMi1E
MLtaD+YSJMmHO2gWXoHZHhiPFkrh4g26cLTsE3yzajOpdFnjMCVAdApum6zEIiNGXy4GieZrckrJ
kfDjUE3Bg1UZYQ+W4VljOdG9s1fQy/aR0RFYMmR3ndFI+7wufBKKriLymN3CdvYKg0aXLu/JKdTb
OhIbmKJXiOCklZhx60/kUcizDWkMIJKkFldjxFxZt53HJFGuKezx9AQ0XQFa5d5kardzHj+SmOIP
GV4o3LQYluP4qOMVTmr5C2mv5hYpAH7aWEwrcHa0zwPtSnTRfZTw+UMis/FWlLNnVvqWWCgi4AtN
xzmNzSJJ8Qdk/hASLR4zUpw6xcS5x3XksaUKdwrcgNEDmJrrsSGZvbQrZoea2IQhVXpddER7MGnw
BzhPTBE6xyfFR9/kpbgoS/veUAK+95a0bWWsGWNXj4qIj10SH5vYiXcSKgsS95gY6Co9bqedVA8c
DAGYXbUJtJIUCOdIk9jaMcBF69DGZzkpH+ukjtd1Rp9bxI0/wkk1Bz4obULO+1m/rRX5UlVJNjEG
4M1KcGhCsWuL6k5I/aZsC5y35RpMAtGgeQyep+0dMJxD45oZM01b7h/mOv7c9rhNknEzxNUE2I0E
psJchoL8VZN1WaJP9FKnv7HTbN3J+5pdpz8FUryeZAdRQnGhGMWl2jPxNeYLSZiYMCZs9ovtUoiG
QU40++rM+NTEG8gDSgaJKYFurNEJlgW/lHZg5TEcz2kFo1TL5f5LlI6pP+YaA+ZFLqal7ccRlfVQ
2pgxRsE4soY/TVziRimMXaSga5ixjzc4i7XYtQsHiYM0YvUcNRJPrIgoJclGjQirISQlbF8GaYKA
Xv8kjI7RC3FSpdY/1LN4AQOR0OBmBhNqw+UkkiUWw0Se3pkdhbvao8URhdoc1DDrDqw9C6yxwoQy
1jgWirzbGQUKu7UmmPLfESFv25sImtJG6FgX6DMX0NOssZlB2ISjsrILSYcs1CNv2mJdmhBraNB4
zhjeJ3HjyLnS3QxOI2kHMQqaDwZYhQc4kWp/kXbVtgwxTlYJ0sZST/V1HBuhW8OGU5rwuoVt4XXp
uNf1QqwbqcEyIpkHwxoBXYBJZ/JtvtRl2aKUNDF/J/pDKsGdjHryWBR5NvdaycOcFnaKtH0JdjTK
pyrQn6FNqH5nI9thCv8F5wYTfdgTIOYG1ZXlnmFJh65pSsfTVLX+GDscQSrppBfNlRSIQ26XT308
4NxH+jIiq28VIn7Cysi8Vhv3ER1QeSDQ3aqe45SUxoVH0qmg4zRS+WjRo/VQk3PQOkcpmR6zSP0y
KzK/JTS+pH2Obj/2pXmvTiMUXaMBW9hcp6AzXTmCrT36IwyCyDrJxMH4zlg+00HbRfjgSffmgFbj
VCdTLD+b1kLvNhxcvJJ0pbJj+oNlzChUxYlmK3JecmW4C9XWKmo0pqXcbTS9Z20HKMXMwSK9GqdW
EUi3XerPRnivNjA8bPQOWLGYV9upM3BxTA4LBlmbGUrOIMF8DdsVQwQ0uPlYDSt4UMfK7pgm29hO
QsW6iIfiJDILoFYVXDhFjJyqxdfYPZvOQJRZn95MuIZxX+JsDhw2EFAJd4GAeykGsveycp9IKZ9R
zA8M+FGkCRIB0w5CkCGrJPCV3efWce5YoNcyAWhpHnVEh2lbTmN3dQ9PIrZGDzXNDi/0ZY9ZyDHK
jzEbHUoQ+azL3YFRdOCBKg9wvSkNmcnNLpR6toRuCF3VwAgSpenOMSba6mHhJbZab1ojHrxYb1FA
iUsqkXWhdh/6HH9MSma6LlCrTEIfV6lMNCvAthpJW0AZTuKUZ2Hz9c0UIYYkKRsTufau44Z6Lao6
uSJzyLa6vSiwUdemswfffYdiTV4hXjqlLFlrKZ7DjTQohwxUmEeUGC4q3rRDqKhQxEigk1pmhl0h
57tZBWnI8AasolYHRP5pjKHiy0gkaOJLREkFgmMWORY4Y9jOucorYdiXasNsx1Ywspjl+FKU4T09
IGBX1gsT3ZfRlNdVC/Y0DR/ARJl+p8W7IK8e5NLeanpzM6BIZjboaeqUenIWHdRmeA7zbCMs9bOT
zvtQxFeEKGOD6eSbQl8WcUIUWeujbweBf8vuhdP3h7I7/tz8VirLT/0ou5fkCYXKe4EpffOd/ii7
YRKSFfpVPaKr4Jt+lN2a85e1FMO2hjlvCaLhF36XyhJK4Sj4OhbZiaqrivNPpLK/AQ+ikmUQBscQ
4a3qvJ31zVqUR2oZyxcaQYqo5+dkZSpPZfiJBJjZwI3WkJIeL3Hp8eCQt1Tx7w3xBsSoXQjieZHH
XWdkrVOJeYBjx02bRg9FY2zItbnWCvtULTHtrfWomDrCPPLbZ3LcO8NqqWhQkqshwZRjcZuA6XSF
I2deXSudL8fVIzksrLXqwQDySTjA87wEnpEgr+pS7eVkykdGsaL/Z3kp0X8tbhc3IX9eCa3tsATS
M/JerBCPsGfuZhLrHZLrkSHn4M7ULxKrXt2IDyjIkDSSdt840nq25kvytSwkj9WGfFHhUVqhRYCc
rwXseFYw7DpcjtTB5EcA8bVqad20PREDuf2hHjiYLEydHRmbijsE+iGRMwh1g7QFVo8mjjHZVkjT
ptSZRZCaOVTm9VCJ66nLm7vMmJ6zCqKBCeEtjOR7OTcOtlzmXiWPpzCtDMyPaHKNpNh2PeC5UYgD
aWo706HxXgfGflI+tbBcw0DcTbYxoGkBPco5AAUtKo+s1k6ZpX/WLIwGjqHcmYQmIBzWCX1EsN+1
YeiSQ2ICqJi2STttUAusqj4+ipZ7FoaZDjMqTNCcpEnXN+du7AjTDqyk3HRGbIyHroxROeiV3O1K
2w5XneVMqN06AsjqUm6o276So9uvFOmsr4dd0hlqxxotw5kevzKnc7VEC5TpkR9G2B0qnZAJUQM0
AFldLOxqaaFYayRXuOpCttYG2R9AXSNx1T0nrb8s3BBK98Rnojzji8MzFxroz2ayVi3NOkuRanud
WvE7ZGpNKXrIRv2xsCFu92N/gwMUovVC49Zr41MCnpuS4fPcYTfoAXeHJjBuIn1PzJAhRrXqoVko
38Q7aCvd6IkxWQjgTrrVo+bRTo1uDa4pWxngwqdORR+im8lCf/2Em2ThqQ0jTw7nhmIhjssLezwL
pXP4mPV+AZS8wE+qwyk34JWrRQiRez6YRbFJyuqq1zibUhPfVTpSBhPmeUYBbRFEizrcvA+AqW0M
/sVGPRHO9VUMN33SpfY4tI+FYeB+nqTyIFnWHPv8qtGVrdSXsPzAPKAklyL0ks0IV2jgG0+i+hrg
ZrhLI1IazeKMBXM/FtUXgrSAIuEKldfY2JuXr8vpv/uKTnP+T/tKm8ZTKX7T0OHnfuwsBBcRo4MQ
AEI+RkO6Nj92Fo14Ige+9Lfd41XktI5lUUa7JNMHwIfx1Z/xs6HjOOwnNgnRhMksYIV/YMKAhPtL
c3Bp6MAOYgtb/BwmH+VNQwdpLRLAxiwvx0amcOv1Aey2TodSH7ZIoRnfTKBfhTyw98ABPshZTrPC
jK10BwO3fIjzoD2BIhrdVtPqm4SCdIvnoj0PaVB9qrpFCp+xPEWZNUGUUSZie3BnAfahuXDZNnl3
USfo5STZxKuA5JT4+EDJCLwOinMaVs4nW4qupzEzLkJFkfZqGA2b2Tbzu86eDF5BeDqDaohT10YW
sISirF1LSOlaMUDPIsvD+qW16mf00dmDIWfFNjSgDRRV0D73IIhXYNPildU4hDAmhK6JqK+uBqAn
GSC0NdL2yu8Bp4FXkwq9fykxAOsHpQjmCTVvmQqk3Z2QPuuhk0RnoF6iZpFvi+bCimhDWKEyRjdR
4nB6GARi35ni1hrONiB6k6gdHagP6PTBtsiB7NFN+wan0/hgSgTrurHIpo9Jr9aACcEUom8fH80h
054nyTJKRGRmsQ4jky1FYMbvhnJ+1gxj0eepsYwyin0lDiHWB1UffuRJij25mOfnoI3mz2Y8PjRS
vS7CeC9ZcHVyhbPyYEBEk6oBubKtiGmTolemlO6mY1qOuN/Ro8JAykv4i/EQxgj7OuIT6z6nYZPW
97oVgz1ylDuNwn9bSQTDRvLQuwYsAIILWvPGRoW566TOuYMpaZ5Hp5Z9dhMSxNXOKG+DVs7pamTO
R8kapL2WdZZbjfkF0WyS33Q9dnAJxtJqyOq688cgBvEgle1uqoKCoAUbFgKn36eQetqfHSu5G2kX
HK1ET06MvJJHfBalN8yA/tp0Lh9nMUoHHl5s6xZJfNhGgwd7zoe7gojNlShHbKDxWF1GPXkvBZLm
zC90HVVe2+rgL0hi6GhEGq0fAuWwvBCKAylzlPUIg0kO2FvjoF1BvrIhj5em8rkqq3ldL+Y7hzOD
i0Xd+DYX+3ct1umE/2EtLrPn4jc+8OWnXq3Ei9JcwQz9nS3zYyVW/6KOYLaq40Ojq80E5Tswzf5r
OQ5weqayRoq9wGq+1/j2X6SuWMu5AUXZ4rL7RyuxvQzHfmmtW9DF0bvBv2EZtmQ++uvxom7nhEIL
dbqwu7C5tBL6mTBQrYcy09X9NKTpIyG61truevkEkipgsN5HQKz6+YPlDN1NJJfZhiQpVg+S41aW
1DVwPIjctWv5nGWRc+oX7LCxAIi1sePne+zyPqjkRYcLUUqiMTyqgFjbDvMBsucU+oNMHVMMgU92
9+A2AM2f8igK93iQZ1xAXeKDZ4JMCuiNpvn0wVFrL1pWqCC39mLBKnelNByKBbXclAMKxQW/PGby
BaZ01DlxmnqOWZNaAa0ZEBiqVEfr0Bol89I3SZLP1aQM+lVX5D5xUuFCdHmMxjAA6dLDraz2SUm3
YEyKdKfODjFrnKQuQyV8kNNpHwutWetVcWWALFzFcidtOjOcyV0S2j6KZGuVadlBQdu8w4Dt+DLJ
3cTGFvqqV9UACThnBvpyWNfyCnd32V/NTVLAZG+JepII/JIMY5Wk4DmIKj8nGktvP3F3JMGeFQ+V
5kMUVy5a/Hz+ZA3Vro7aPWSdJ45doK0z+CTYxJMVQnaCTuq584KeL4x2RuNnEgHLgalsE11yJ6kJ
wVb2m7xLgwV3UT33ZZicxk7/DJEHGIccluDcQG8NDFawnN+YmnVFvKCGWHLcqH32QaX+dY66Q0Ya
IL6LvlYuS9X+IIetRVs83lUSIeiswq5Vo/qHcUKJmXIY7PWQ2D0avVaRH1pN+WwYpUAjP9z0sPkg
+JGFmMpk1Oe5fGGFzrbIy02vGcdkdE7VIG8iBf/3nIXEygTmJVX/eg7ji3yOyWDuiAnU8TfMxnQy
aLNWqXTHeZv9f9TB5Ar+RwRPudp81AaFvlFkv4wWzkxjuqsd9jdY3cwtqxb9b4E/7lynBnnhqmaK
F53YYI+6DAhuUI5Hwpwr3goSUo4KsaMClTfttMoJNN8i5eMYmmq8+7cw/mpRNqgS/34xvhXZc8PQ
/Nvsc/fpf/9H+fFT3xdj8n0dGwi2xmKngE9gxf2+GGNbptEhI4v8CtZ+VRZr5l8W80eWXEP+PgL9
vhgbfy3rNvU1lA+0m7ryTxZj1f51hk/hDdVbocBmbK4rtiNT0b9ejMOglmueY3EmUhE7SSye2OGR
4qQUJHKf+VOTLZMjoLJlcIobeNmGMpD3UvSX2H93FvhLt6WWcx20/60UH+gyniaLNbSELSHL6aee
bjsomR7hv4RDPhjUE7k0yLdlM/TyduFmyvcDxYza6g9kuJNwEDn6OljwOY40rzNdklb/x9557baR
dVn4VfoFSqgcbgYYRlE5WrJvCpREV85VrPD08x2FtmzRRveUgOEAP/ui0U3xkDw8Ye+1114LA3BS
bGR9MHNBIScPvxh2+i3vs9utH6CqWOMN7prmlxKX2xThzdqR7ty0P/ZNi3A+ON1G/gmAwLcqs5NJ
4FgXlDAwlfTsecIXo9k/MJdk8HBXsq94hdNeEWpUamugzCJuD/Hzue1VOM0YFy90HbkBNcTXT2+D
GPTFfip8pIegtJ1UdXzTpgNEA3SUjci+ygLnqaicCxAJRPWpERMMh/XcbYmN8y2Hd/ro1tlXt1DP
qyx9JMVCZCAqvXmTttZhZSUXpAaHwktMD71vsUrTZx7btJHgMApgkz22igNAjH5w0pd0vak0DfeI
9i6CgmYP8qqTuuJY110Y7Bw2QV4uekQ35LI98hzn0FONK+SC8VwKN1ZS3miBR7FvuE+8AT0jEcDz
Izkyxj5ti6y6KocF1gCFeWlCxPed7nscOtnM5UTNZFeeNmWIiYSs3umecaXXSKzbQXSje+r3RjW3
qz4QL6d/caFrzX0iNYdV5oMWGOaiqWlhxXIwXJLvf0XbJFqoeYM0oyEjiGSBwymc2DJXBHb2C9mi
IYp4dlnUPv3hEb2yTc6vhi8I3aCGibgUddNisBcm8u5Lt8qPAzcpjkSLHN3wdMga7XBl0YPUpsai
KfQCEzcXEC1CZEmuO7KCoaJFo2HFGQToU3tgEfcVv2Gi5t68LYfrzCt519ReeO524crN9WBrR0FL
KdtSMTOqCtebeTF6odsmeqyz7t5Gp39imfmDrGTYHmXutGy7DsgrQOSkRJNV8g9l3EBnkoV4hixn
9OLIS0XG1RqLLecQB5QeeWp7k4TFCbWX7YSyQT6nEXhlen2P7S1ysF7S4QVqIGBSUnSpKRKaWv1Q
NZjNy6Vi0sKXDxdJZ6rHehrR4UVQ6K1i1fG1WRS1d6pN8+u8lCo/+MI0uPW5WltohJiBoS1MN5HT
G4sunWym1/mgIT8eiw4pO7EuJNcPuPSKwL/Qis77SoflvIpZQhPd192znGbXsDabqQ3IJBseObfj
XfuFLGHJYnSXcixhelcEOG5Y3KmTBrexWWejpr5CaMxFryXo6mBK7Bpj39hrU6WNL7PM7IqlHGrq
fdTKMs6ZNOZzzsQ+mrCm9Sh7iJtPI7MvAd+QRXWEXaVuFPMgUC3vRq6tuPqquluPcpc2qD7RRWK6
3yIj8PVTGdVzaRI7XZP/pz7xcvHphPq/vy6vm7relB+vS/Gqt+sSWpBQ6VA1QxO2EaLL9e265CmH
8jJkWNFNq9rvchfhjC2gIjppX4Wq3uUuJCymLKN9qaAgbanjrkucsfFDQsRdRxYLIa1frsutSsWv
kJz+HKyrWtALks4rXa4imJ/oWYKPh50BTGBIElIwaX7ats01wPnSsCM65Evk2wJfNk66lKr1NlSR
UKj0I65neRr3WrVQlRoCIe2kh1gf5ZeqjnoA8gg0l6HLj/tYdu/gGD2VDPkxLSh3K/5wmQQIQbht
FqM+sKWN0rPOBzveTtNsKyrWVjQNspZShU2I3CDPi+eXehlpUrzaJoj1JGhRyaVvHEoWhxFF0Wql
gC7ZqGymxjTIoyvihk0bFdfoueGJgTpfKZvSKqQUzRUSx9OhdvJzueECV9Urp2AUV4lOkShroZIg
R9il8cxtnVNZZ2o0ZNk7b3spR8OXpMlvqYIcc7t9QyVoGeYJH3Zo1Slinie6IfC41jgdcvtpcFAO
wLaxmNrq9ri3smyKDlUxlRr4hT4uGw4qixEAGBBMRhiMqZRUnKZqfh8GKGVbWu5OAz8p563RPwyB
ekbxg/+gMBz4XgzWrRX2RaXZVEMwzENI0ReW30A60wKRJ1sp52We0T7fLWQANJX6caM4SI4Mm8EG
VjOs7XHaGXjllpYNaNIjsdoQkuDZkOCNR6+e46Ep0qr6XY6FQiOByxd6Pt92KtKH/calwRHhlnqq
ut6679PvjeVlMysy0lmtD6iKy3V8asfqhVv2eJLToI2rbQ7NaVjbBa6jCoww0tHMnJY6TtKQY1Zb
StNhmF02ciKT4JDW2TEJSbEwsAmc+lq6bBTzsmu9O0ymnUmdVDhx1/FsK1G7tilUT+wK0TJ67euZ
1Q/yoRWnwTxL6FTJROdWUDhfcje8iBKvmGJpcey2NrWSgk4z6i9r0mgPK/BsbXXQFqpOCogO3eGQ
YIfCTR3RZezpyIupjTzBRjyHOuTRS1l715bLbY8nqHqoJslpTUozbVIkaZGVkNDYtuDa6PpxLLWX
puJ/TaGRT9IuseeYQZ0kpnpo2jZKtJ5z3qVVRXapwhjzlZXsgUahAlBz9aPQSFPaedZJK5gEyCq2
0WMTNndhouFZiaiMDgeN5s8NhxTCrl4ipBrPtojZzEMbgXVwz+2J01cXWq49haLgUeX+oQaI2YbO
Waem10Eah9PEGHDsruVJJRnewjbCcJELLkXtoqOSFYhv+fEkDKNNOCBQ06vucmhA19CoMieVTurt
eAF+5R6mFF4Qz6U8ukvb7E4p/X5ibvV1KYffUhN9CDxwMJDMcF4MMu20yewvYSkdI8pxZDuJTAXN
mJs+TuK4f0J2atBnV2jLc6SvddGDBmcnWYmnc0tP2MT3rPt6AJ6IPM053OaWM6sSBzNZhO3pi3b0
czXKbGlWCD+u/2SRL/kgV9Xvr8WbMiDw6z/eiwYv+/teBLjjGkMhQRa1+Z/8kbUD8/19+YMrixyi
Y6GqgF+gMAX8Aeg5B/x/Wba5TWl+l6nV/IvSivUs3fgToKeT2pI7qg7/4qPwTu9zSHhgnVkUVXKR
KmgynVZqQ6G+bwIuPjTVWtWB0gQGh0V3/giE/m3IBn/ZSem1TtA40ayHHrOSed54h6WbLIo8SJH2
ARppdOtMrhVO+RDJX5A7/GEzB4Edr/fJDkxU63LvTJLcaIq4bT0N3ey86usnScA5htM+6bmUzX1w
ksYBtsns4LjThdKAE55KeXFRypkxy4j80FI1tzNsX2N4pSU6tHU2KZvyYUtlhJShX8qq/SB1ysJv
a2Vidd6hZdVnpHlQz9ATmRhF+7W1pdu47uNpGCnXmlHfezAwlo4t2UtF08xzjxLbHKJojXBDVM5p
+F1T7MzgFG05aoEqiUnPM8GKgaWEUhA8GR/CTKfKR4lsbPQ6WWoQaio9ONYFw6YkxOig3BD+89fO
YSKX9w3oVtZBUEwFSQeyjhMCJ2UztMEfoUs9lmp1Xg7BnQG/JwKHnamaDOXHMC/waMQlGDZQ4gf4
59YSzFKp8RZ9FFxjaHrW5NLZ8Ewmkkm3e0EwMgo7WYX0tk8MQT+icn8hGS069sIv2ZBwbIA8eBz6
EKZDQWAqPCxmikae23CbzIoKV1uUMOjqIzuDzSc7yXmO7AWcvMJelXmqLqFiLW1BmyoD1JfyPraX
keWXs1DQq8yt280NQblCgBN6Va/inNN+cWFlxbCzTLlBaTRFQVxyimUJL7VDo40ED/gUoHPSCZqX
3g6cpDC/MN9D/EqV3CWBqTttsa6S4Yn5gjDW1eVDiM0h6sIXLYwyL4RaZqrhUodrltT6oaOg/RUN
5m1Ndisn3hdMGDZA8xJEEBXCmqCubQWJDefG+zTE4MhTOYyt/E4ShLe4am8lQYHjpRhTCFqcJvhx
EiIPmmrmE0XJvicVuoVBlp/qvXMe6cAIdd+BG0O8azB2mneCi2choMJeKW08JwJ8rqDs4WAE4RcT
wHXtYu0nV7k70wTHT4vCuwaFjji41Wo0TGzBBmSvIdEGP9CurXqZVsC2OHHnh52iulMNw6geWQE9
ldDZDHG5HSAd4l6BLlFaDDMLQmKQEtJCuzGnwTNbEdqiC30x6qh+sdaude1I6r9HMvCPBOUxs6q5
JjiQvm/Nbby+iOK/y4IomVv693KQvzowKOU2Psv7/loV1EpkHv252UMQ6JPiym+qdaxjph30Kzsb
jvTGQQFKEVTNDg1wu9KJvvrvalV+86TmuM3qS1pYT+st8AIyZ7MB/qfm0FinCEooamzqJGwiGeYP
hNGyrr/nUpJAE2qFnYu1DoryG8AdF3oGXV8V1NOutc2jGuNfUDDJnsYwVDl1CwzaSwQUYK/WdDSg
YoJeBgfycSUorl4FAuIP26Na0F9VeLCm361DQYzNBUW2LqqY8AjabKXTsZogjemjl1T73XVtYAFO
EWAed5hWIHuOy1RqlGy6jC1hm6dxGUAO7tyzLNZES75Lp4vkXeO2fp7lzrXj6oda1+MnDwFZIMNX
bo4lh6cUC6+243uEn7FvbRGAxRxW6HGwsY3wzgJEIORoowXHKrr5qv/QpRR2gVkWmGMecaBf9XoG
3VtOuhkXwCWldZWSgjHb0s2x9GX4ottK0yeGSfHTTo9819SnURFjDbC9DAydAgFkXRcBGLQkSmUO
WsVrt9trwwztwyFtHqosBBDEp3NCEubjpVkAHQzSd0enTl/7ZbCk2HyJ9eaDqbG3i9iyib9taYoO
K1Ic+HieyYVDS1hW3INYCGIs3Nek76DQqKgM+sjEzDLObCNPZaTk5HoB0PHQOMEduLs+bd100VOx
mij85IRCRNGthtJN3aHTCpWBOd0G5opGCIJ9HZMX5NnZNAYVFH176/fRZcudOK1DqiiBAeETmSIP
NbSe5WZDdmlCQQIVFIJcGlCHp5TbS8jx4h/QTj25pUEhMm+NmqaMtH8yMuMCw8BNpzAcgsf3WIME
k5ZK98Rs0hNFMwvcEodT7n+EOawUbSBlVcd5OdV7tZlHgtKAfmm8qobiVlPZ+DhI30lo1NdB/dQW
8cJxw1sue/k4MOH7c/+vqsA7t4LiBpeuQ00iWMToq0NDLmvgdrWHrgH0lfYoCgpyRYsw60y1rMeg
yyTE6TIP6Rmqwn1mXylgcXNDiKek6CbO8xw5vW3cuCu57NcmfW38nlt1EUX2TZfS22C70lHgeesS
KSMvgmzVhTk+ABmvt/KLLEKdlcq6N0dM7zHHyw40MfiqywFQUGFekJp+yXQTdkDcHQ6e9j2UW4sz
Fh8zVUW8yO5Q7jGtmMDcJJOXs57lF5IoKEGPvMOgfDWr7ZmjR8Ec9WFyAYlT2+9J4UILiwpTCtdy
qp6i2u5P68ANp8UWuFFU0pGHX/YDUv6NJiJvOToMvZouXhulSlkQsArVTaeZqMHT2PTkeyjmFLZX
LraKJk+zZLudZTJi8RF8714y7xIbvoLnucY0KaQbv2xv6fLBXiZwplkbw4xDKc9rSH880ouZqvvX
tYmhgRvXq8ZrEAeUnVuI9hdejIGjVtXtPMkljAZgI0/R9Fx0nhTP1ChdSURObMhQnrZq9ZB7CVQy
7nNmiysEHV4TjRDRl9HC3ZNy87spSzcSNjkzK7HwKnKi75ZwGcIG63Hbl8cON/mkt4zHamstCxtx
/dRTjtxUS3F82+rTzozuvCRBDL8r1andoFkjJeCqD7LtnRAY4DOPv/BEacKjXJh+IPAWnqkBPm5F
yXN29NWTjBx/ifBGKeE25410ZSWOiYVettKd9q4j5sJXZMC8Kc/SeVGjBNgjVjdJooKvg2k1tJVS
n2eZfmzj72PbPbRKqwAZaNvvFLFh5rd4IdGotMAP+j7fsnX9UrmMvZRkutdONTOoheFfOUFo7Jp+
AAQQQKQILzvO6TI97fQSXX1TP1Ls+jFM6KvGN/Cu6EgBEVy8HWJUw/r4BjZpMmvRk8ws+YGOfxZ/
mwK01piCZHFzklflIpURVJH7CicUNEhZteHGITb2tyaiqF26GZLyaHBQafTKYaWq6X2A1QhapLf5
Fj5nRZRnRRx9fsHK9J3WWmZI8c2KxlrKXfnd9AnprKz7qiXEfNtQmQZxeI9+0Ao5oBnuAGu4pw9h
3ZzrenGEJaYyA3Re4JXBTamRxxbWVecr886g3OkW2XVXOYcwJ+HSkzbK4QUCUdM+UKDaa1AG3XiO
WcUJet4rbMansSFvcRIIlX5aeJYaXcbpYN73uIqg4CDhAnsZG3W+nfW2ieNTLr2Iu/yHViK0hX6f
g36lo2JHAspr/k5A8TKCqmeToVAmpDniHTBLbooLMM2aEE4EPPqeVAK5T4ccrtiaAgWPVu23OiYO
SBxicFFsrg5V8AX/RQ4KWYAc86ccFCcjUyeRgpyEtd+v/ZroqIdprIYIldZUJHMMsi23vKnVxJ+G
KtWxQUmzm2CrxBQ0kuS6Eh7biPc1h83gKlOlQUUFMkk9KXTtDPoMqqhxQn+QFW60Ab5YLTy80UF7
cJoW/23h703w0l04npdPkwT5MadxsxsdQ/BSpgRRYxG+DXz6Y7wCVrPwD4cIDuaGDuLc2+IuXinK
bSL8xuOYFr7Q0ZZ45aw0LMm9Am/yTsel3BR+5bFwLqcsiEaxSWiB8yuulcFtIXzOfeF4XgvvcylC
FUthCs4RDHAXnVw7hzROQSZsaU2vnyEcAebgbcluTAf0y0B6MqTOoUGGtGI0yUkDGhSBCrUCHqrB
iRwBGBkgR3Kj48zryXMVTCkCW8L56AuzeZoJ0EkW8FMmgKg08r8ZIFOdSXQJjH3nFdGdaFOZ4/0C
sQQ8qxbAliYgLi1VrKnpYT0v4C/JBG4TgFiXmkcmovyTmqhv4gjUrBb4me+2Mqrtw1d+6BAuTX6d
Se6ZDuhmw7fX3BhVYOA4F1iOBsXtCW1tGAnUCGUVgHe02mC96A5nRsZPWufdDG9ZwEvtQdXKuwEA
UHLRycx8/ygCGjQFRmgJtFARuKHUqis0JVGvwuKeDk3nnKgWtDbRDxFFPskE/pgJJNIAksy94VIH
ogwFVikJ1HIr8EvWB3mjXUT2udYDOD/Iqmn0K4v67By/m2Oo5ANgMW1xs9ggefAtYyNV5CmNSCCk
fvFMkEfGz4DuHR9t0dSfWNj0cMkpJ5plYHkkuuJcWYGtbtjBsjciKFHIyGHnp16VWGhPt3ZJUuBF
j4UKnaT3gx5zob6ZZ6GzoFZPTTUamOSgclfI2qA2YUToybHBp+hcHmK5fBWnacfK1led7VRwIRP5
JvXRDnV1fDaylFZoA/FVJE0AF1yCBF1OwYDcTU9+HoAyrCLDuClr95uKGPcUx46pZTlngNbxqtUN
kzscQNiKzZVkl/q5VXMP47JRT3MlMBe0vV5vI4H918aJDO9o6mCHOJUl46iExnqk9NlxocfKqsgC
fqUaXSftvlLcc6n1FrAhuwUVe9q3ywAyVlIuqx6gCDBpZhfxgx8bCzvL2epsk1zwlsCfv+UQmTrB
aIoky57FguXkC76TK5hPYVDAitdpxWhs92xbEKOEDkh+7+DIk4pizDZJ8QDqLnuFcBl7D0rx/YCG
tWBdyUWtA4Zk+rL3XDhZgp2VF+kxzRbIXgvmFv3Dw1ERKtJSF7yujJKQKTnlYoDyhTvEPdmpdqGG
KEdy+tE9HACf+FDFJLgJnuCOmZDICiv0vlfQyhyfbXxpQTVDPg7SGTxPsO//YLgvGO4faZlfm4f1
jvvzZ1Im16cOJ0HIAVO+fHd/KgcmsrcIBGuIDooS5d+kTIdnuGwBa1X+BBL9+/uTi5hGLp5SdFuH
PfQv7k/MBz/cn7SbQCeCdYR8HeTRnzHcuMbErMs6+bymyEirubE0qREeq8iVk/spOcxCqpJNirdY
FyG1nuG7iragflRmBu3eop7J6jNOSlHjZEdQ7WzN5ZbyZ2x3+Wk5SNN8K+sAu48KViczNWmhQeIX
N5jtynHtRWDl8gwbjmVT4Q2SOn0ytVr9tk3LQz3w05vC87CSy/NHE83MjMphqeiiwEYztekVj3Hv
RLOsInUs2vawy7sOcCDz00tZA4ANdcBJjRqV2TrzupXdadJKqNApQm83LuDq1Wur8R7dxG4X3Kny
3OvzYkWXdkKzkHRVYwR/4WClMElMn94lDUKM21vWzA2AMTyJMD11+wtI7hQKHe2pCsxL3yjO7Dog
JPej+0DVburMyWdSqG7yyOjm7uDdlhA2AnZ9Q7f5hGDg0C2cJ87hlA4XH6Fw5BRkCN2m+jVJveNw
cG6UkEZuYxD4tCrf5FaoTgZ+hNqndhi7JJNqbaz7psKywaruoeLjEYAmKI2etKbr8oUd6wqOA8Fl
4JA0Swkax0d9j/I/Tl7fZbpoZLppuE+Pt6K9Rgurq8akhacjKp8MJRmaRTdOaMYQsfJ4ZoGfCSOd
BrEFR7VAc+u4inC1xS8+SCv73FHzfhljYjTZmuEKFx8HJaFyoxaUpp3B8i4lgbYNgfHowK48K3r1
ewzl0aTND66nH6rOWezDCKUtlhp3hHZxbaDllcLzOPIwaKSiC24a2+ctmP3UNB2Avx60NNI1Orah
c5XqGVx03GK0oZzUgQ5602QpOhhor3ZknoAA38zc/xJFUTMtG1SQVT/FzNJn3jwmN07DDBgR5jHN
ZIqbPSQYzDYQpY+AQS8VO/+u+yiU+92yKTp7mkZmOZWxnlyZcbHKzeSoqw0kZLXzXonOIT11U0eY
D8lZeCe37q2R4AxfRw4ODZJ1W9YeMvOKeuLmKjGHDXRbFImwdJOvkr4+krm8iii8CgJvbjbxVxwb
HiA5Z7jooDrSA1LYZdTMSlpqJ5mcgv0wuYYuHW1jDUEcmeJK4/QRybd1gs/wo60O2qyq+7tcU+l/
UdDzqyD1ZPWAyjuK6pE7yLRIy2dt3D74onpuijp6agYF7L78XoPg4BAJm5TcQ1F7R6nqsZbbhVUK
gFfU5+GwZrB0GyTaqd33ooqf9sZTTVm/LehPTCj0Fy5JfyBq/7h2IHhdfbMhBRBU3yqQBBTsAvh8
BG/QBxxoBKXgE/CBZ96wbdGyjtBFhXPQDPJV5WjfesFGoN8kxusKhoIU9dIqE6yFFGRtC41Bp4vF
h9ZgC35DngARTnTBenAF/2EQTIjE0ue4hDSzULAkEugSoQyubUM0gYZWwYbOYFWgXke7t2BaqFAu
QgQZ+HiwMFyoA1AcussQPRWcGuVHRGFeVeH+H+Sprx9RiP7MU7DA/rLZlP3VpgIMrt6uIPHsRQaC
fpP97/7ozwO9Mm5v+hy1ofUTruWzoKrL4LHm7vzAxqUc+VPm+/zBnj/1H8eJ13y75ol30HS0hXAD
oi8CBykeXN5xRsPQy9OSApOXXmU8gGWe4b3ezdHvZuHPX/BlOv/8N3/88L9Ogs59P3oS4DwRnlDk
fXl8nARASk0HWn57fi+nQvSUj5wK6udEY6Tqr1MBrPHTelBlQVUTItIvqMv+rQd5/KZgzdO6iZ4J
uJB4sPV+ngTR22mzGF67S/dvEoQV18iVYB5QGDcEX3H3phB8RhlsSNFf8of/40l4fzrS//QrXfOf
nIz8yj8ORusAeI+wiu7e5weMlZ/WAAcjRVnkzYENnx97eTyibPy/mQmx4N9PBU1kNsCk9vJNP5wJ
6gG2p0CkvGwvz0Vl/JFgHqCVx5fUf7MbxHLgObi6zM5eToLIi0ceCfYBGDQptCGWFY8dwQINkBbs
4ZcJ/z8+EnZETILVPHoSkDdyHJpMd0+Cqh6QJNmUwPY2Yhp9OSBJyW8MJ12DayceO25Ijd4wJC73
4nLYsRKE9u64laBzATrP7WWvUSFf9acrglgJaQY2i/LyXvu3HdRf6Zv/5JoUv/WPy8E5UMRpABnz
ZSX8ek+qGsEUJBowwH09GPlC41YCKlIiUNIpA/7mTKDESDSBTfnLhO/hShh/O1gHgLVUitCPfX78
uhK4IulwsWz64l9maV/Xw/hNQQVYVIxVwUz+9UggihDqXy9h5b4uB2X8HKgHlKptg07el+XAGfjT
VCjGgWEahoEO8dtyYRfu384QSswjjwf7gN4uVSGAfJmKD7elfED1hIxzP1KpHbflh27xf39REEFr
MpabrytfUO1/Xg8CabIh7gsCxl6uhA89gP9+ErgtNXrFuAd+e1HQGUgvhLOvcZPQNBm3HYibLPgy
lirCaPH4kE8CSsLbJ598uZn38Ex4iWVeHEH+RoT/FfBqH1h0uwC0vcyBSNN/2g4EjyQY1D+N/T4e
jdHrgegJEIWLgILv8+PD8Uj0ZKPSScKxpyfDKzg+Zj2gi4HmBbPwewzasg3+ETYqe3k8Cl2lcSeD
iKNh22FZ+iGVIqmmFm9prxfR/h0JH4QG//XlIM5FDcM6+BCvZ8KvR4IKZ4KYSd7bfSBYHCOXAKIy
QiXXgDTy/PgVYwJeQWpGFGv2FV5RRqdSwCuCSqPrH/eBfqDAsUHu/PXu3NOzQHm5uccdiLaschwg
pPry+GU3KCKqdkwaRvd2IYzPHIwDzMIErvASBOwKmgUaSVC5r+jK63U1ZiU4B0SDqPSRNe+OD9QD
ZKMUZLz3NWjWP2M7cC4iZ6W8go07zkXwBlqe9zZzEMS7cZcD5yKBIuXnV4RJpOa/Bs3Yp1GgFs5p
exkkvZaHxmwHHTF7FS3Lt1LUryuBg1GlXUC3hLAlj33FmISJ2ej1AHpkMh2/CZoJFgBVqFAL3GGP
p+IV9xmzKvjRwQ3QHn09JH+FV5gKWXdsWln29ZB8rZeNmQQThBnCAiD088/94bokqSZ4BqZ+DVT3
L414hTzGTIJ1QPMRQhrma4j46/nAJAixKY4Hfa83hTq+ai82hdCTfJ2JD0iTYLdxaQI8vCQu+7ce
Pvii/Ou0UiTVUPDJGF5+7l2XJk/Cf+NwEI99vS+EYtq4+wLxUZSjxRH5ijR9iB/oVzBwlkCleE/j
h9d6+pjzgU3hwGQBg37+uT+uBy5NYigZJGJPJwFl2LErgUOSCImM4neHpHIgahG6sbcUv9eMb8xK
4PSjwRv27+t1uWM7oK/DHOxtTvHKQh0zCdQp0Rw2qFX+kkygb6xAcaEV6ZXztae7QXzwkeciLiai
1IC9yW7QjanAgZbUcm8vB210cqlZgG5CMYx4YCfgRAQNTRyAVtvXYEEdD7/aB0RDYi280l53HQlC
nRtFtLdJ2ss82xh9RQgQFliNo+EVcflQpgR24pakKWBfIyYhyT76ZHBs2UB84CVW+JBRcTJooocT
F6M9PR618dgbBiIWzFd0XV/W/IeVIJiA4h+gWvHY2/UwPqOi/kDnA3fiK8zw6/nAelDZFZwh+7oc
XpDBMREDJSpOBV0IJT8/fp0DOiNUB6q44+x3QiU0S0YeD/aBruGnSR/Eb6biObqi91ow4fbyohDe
FCMnwSBfQqEP2PllEtj+H1Bpzk/Yn3u7KcYHDs/sTzrs34LlD2ckWSXK5pyS+3o66uNXgkUTiAxJ
wfxdpQojWlmA88JDcC+3wyv5buTxaHMHcP79djuARikKerr7OgnjkSZaZdDTF/Hhr4cBLA+L2gxl
/H/+7f8BLvl3g/LUD+Kn59bkYFPt6mD+3R+89eR+fP5d4/Fza91PfylalV/e/KUzV/z3f/3cufzM
6n337BvL9/mdXl//+hU/vvlPb/b2vd7+5yHG0OvyESGC54bt1w96tk7obf7vmH89rd83BoJ4aSLF
fft/u9us/74O/jw6Ys2bt4F+OCSJNqsfX/VjD/c/GzxZP2Xl20DvBmfNjB58Iswq3sZ5NzZx8uix
p+t4veUnqd7Gejc+u338+AgBVh9+UsIswotPGDyty/Vf06yqd70FO3n0W8w28V9nWblz/kEwRo8/
j/+aZSWL522sd/PPjTx6/EW5qXaZNAoC5OjBl/EmTd/GeffBP2O7HjbJQxY/1R+HF3St0R99leSb
MljHb0P9+PSik2L88Gj7vg3zbujP2LHHm3LHnIuOtdGf+jhIvR0HgejGHT32yTracYYJstEnDF1V
m11z8hkb9CSr/vrv1NvEm10z8xlb9HT9xAH8Ng/vVstnbNHTNZYOO8b+jC0qxs6zXae7+hlb9HST
PmWPwa7TS3TljV42p5vycfP0NtCPeRcV/fGDZ3z2t3Hejf0Z2/Q02zknn7FLGRpfrE2/45N/xk49
W+c7FrookY6e8LPNdv0xdsRD+DO26Hm55gh4+5Tvfs7P2KIX8fpxsyN2FODD6Gm5iJtkV3AnlGdG
D34VEDpWwdOOmRFI9ujxr9ePJSlBWu+4SwVK/AlvkP412WB5s+sNPmOrXq/FG5TpunzaeZBpn7Fp
xZvMgo2360t8xq4V4y/YAY9B9bjrPT5j+4r3OMrWRbPrttI+Yw+Ldzhpguqv84egynd9j8/YzOJd
Ttf1Ztf4n7GfGb9e/zVZlw/rXTGD0Nb6jF3Be0wxFN5xWAs08LPeoWyGt8F+nKmCej3+Dfz1zpxQ
/5RNDYaxc2o+ZTMHVYT9UvM2Ce8m5lP2chavd0UPgmQ6ftYJTJJda+ZT9m+9Ruw5XjfV2yd9NzWf
snX/5An6jFaNQJ9uNv5619QITvXoef+zbdvoj/4na/HxgwMQJbtwOQFsj56ZL4zQ7Nqrwhhu9Oh/
sCoYOy9/UHH+89C7YNm/VRo+grVv6o67XvYzFi3+4jHerMv/+h8AAAD//w==</cx:binary>
              </cx:geoCache>
            </cx:geography>
          </cx:layoutPr>
          <cx:valueColors>
            <cx:minColor>
              <a:schemeClr val="accent1">
                <a:lumMod val="60000"/>
                <a:lumOff val="40000"/>
              </a:schemeClr>
            </cx:minColor>
          </cx:valueColors>
        </cx:series>
      </cx:plotAreaRegion>
    </cx:plotArea>
  </cx:chart>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1.emf"/><Relationship Id="rId7" Type="http://schemas.microsoft.com/office/2014/relationships/chartEx" Target="../charts/chartEx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9.xml"/><Relationship Id="rId5" Type="http://schemas.openxmlformats.org/officeDocument/2006/relationships/chart" Target="../charts/chart8.xml"/><Relationship Id="rId10" Type="http://schemas.openxmlformats.org/officeDocument/2006/relationships/chart" Target="../charts/chart11.xml"/><Relationship Id="rId4" Type="http://schemas.openxmlformats.org/officeDocument/2006/relationships/chart" Target="../charts/chart7.xml"/><Relationship Id="rId9"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chandoo.org/wp/" TargetMode="External"/><Relationship Id="rId1" Type="http://schemas.openxmlformats.org/officeDocument/2006/relationships/image" Target="../media/image3.png"/><Relationship Id="rId5" Type="http://schemas.openxmlformats.org/officeDocument/2006/relationships/image" Target="../media/image5.png"/><Relationship Id="rId4" Type="http://schemas.openxmlformats.org/officeDocument/2006/relationships/hyperlink" Target="https://chandoo.org/wp/excel-school-program/"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3</xdr:col>
      <xdr:colOff>212725</xdr:colOff>
      <xdr:row>1</xdr:row>
      <xdr:rowOff>82550</xdr:rowOff>
    </xdr:from>
    <xdr:to>
      <xdr:col>9</xdr:col>
      <xdr:colOff>266700</xdr:colOff>
      <xdr:row>15</xdr:row>
      <xdr:rowOff>38100</xdr:rowOff>
    </xdr:to>
    <xdr:graphicFrame macro="">
      <xdr:nvGraphicFramePr>
        <xdr:cNvPr id="2" name="Chart 1">
          <a:extLst>
            <a:ext uri="{FF2B5EF4-FFF2-40B4-BE49-F238E27FC236}">
              <a16:creationId xmlns:a16="http://schemas.microsoft.com/office/drawing/2014/main" id="{CFC7B90E-919D-4DBF-AB25-CCB6CEE1A7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923925</xdr:colOff>
      <xdr:row>6</xdr:row>
      <xdr:rowOff>95250</xdr:rowOff>
    </xdr:from>
    <xdr:to>
      <xdr:col>14</xdr:col>
      <xdr:colOff>679450</xdr:colOff>
      <xdr:row>18</xdr:row>
      <xdr:rowOff>101600</xdr:rowOff>
    </xdr:to>
    <xdr:graphicFrame macro="">
      <xdr:nvGraphicFramePr>
        <xdr:cNvPr id="4" name="Chart 3">
          <a:extLst>
            <a:ext uri="{FF2B5EF4-FFF2-40B4-BE49-F238E27FC236}">
              <a16:creationId xmlns:a16="http://schemas.microsoft.com/office/drawing/2014/main" id="{B1958BCB-2BD6-4CE9-8311-4FD05B01F0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555625</xdr:colOff>
      <xdr:row>3</xdr:row>
      <xdr:rowOff>6350</xdr:rowOff>
    </xdr:from>
    <xdr:to>
      <xdr:col>10</xdr:col>
      <xdr:colOff>504825</xdr:colOff>
      <xdr:row>18</xdr:row>
      <xdr:rowOff>82550</xdr:rowOff>
    </xdr:to>
    <xdr:graphicFrame macro="">
      <xdr:nvGraphicFramePr>
        <xdr:cNvPr id="2" name="Chart 1">
          <a:extLst>
            <a:ext uri="{FF2B5EF4-FFF2-40B4-BE49-F238E27FC236}">
              <a16:creationId xmlns:a16="http://schemas.microsoft.com/office/drawing/2014/main" id="{AB5E2688-9251-4DA7-A013-BFF7D8117E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279400</xdr:colOff>
      <xdr:row>4</xdr:row>
      <xdr:rowOff>146050</xdr:rowOff>
    </xdr:from>
    <xdr:to>
      <xdr:col>19</xdr:col>
      <xdr:colOff>146050</xdr:colOff>
      <xdr:row>20</xdr:row>
      <xdr:rowOff>44450</xdr:rowOff>
    </xdr:to>
    <xdr:graphicFrame macro="">
      <xdr:nvGraphicFramePr>
        <xdr:cNvPr id="2" name="Chart 1">
          <a:extLst>
            <a:ext uri="{FF2B5EF4-FFF2-40B4-BE49-F238E27FC236}">
              <a16:creationId xmlns:a16="http://schemas.microsoft.com/office/drawing/2014/main" id="{20082719-4D5B-4927-97D0-46A86ACFF2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xdr:colOff>
      <xdr:row>0</xdr:row>
      <xdr:rowOff>12700</xdr:rowOff>
    </xdr:from>
    <xdr:to>
      <xdr:col>2</xdr:col>
      <xdr:colOff>644525</xdr:colOff>
      <xdr:row>44</xdr:row>
      <xdr:rowOff>0</xdr:rowOff>
    </xdr:to>
    <xdr:sp macro="" textlink="">
      <xdr:nvSpPr>
        <xdr:cNvPr id="2" name="Rectangle 1">
          <a:extLst>
            <a:ext uri="{FF2B5EF4-FFF2-40B4-BE49-F238E27FC236}">
              <a16:creationId xmlns:a16="http://schemas.microsoft.com/office/drawing/2014/main" id="{A5E6EA26-FAC0-431D-814F-48DD279BADC6}"/>
            </a:ext>
          </a:extLst>
        </xdr:cNvPr>
        <xdr:cNvSpPr/>
      </xdr:nvSpPr>
      <xdr:spPr>
        <a:xfrm>
          <a:off x="9525" y="12700"/>
          <a:ext cx="1955800" cy="7810500"/>
        </a:xfrm>
        <a:prstGeom prst="rect">
          <a:avLst/>
        </a:prstGeom>
        <a:solidFill>
          <a:srgbClr val="307442"/>
        </a:solidFill>
        <a:effectLst>
          <a:outerShdw blurRad="50800" dist="38100" algn="l" rotWithShape="0">
            <a:prstClr val="black">
              <a:alpha val="40000"/>
            </a:prstClr>
          </a:outerShdw>
        </a:effectLst>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654050</xdr:colOff>
      <xdr:row>0</xdr:row>
      <xdr:rowOff>0</xdr:rowOff>
    </xdr:from>
    <xdr:to>
      <xdr:col>20</xdr:col>
      <xdr:colOff>50800</xdr:colOff>
      <xdr:row>44</xdr:row>
      <xdr:rowOff>38100</xdr:rowOff>
    </xdr:to>
    <xdr:sp macro="" textlink="">
      <xdr:nvSpPr>
        <xdr:cNvPr id="4" name="Rectangle 3">
          <a:extLst>
            <a:ext uri="{FF2B5EF4-FFF2-40B4-BE49-F238E27FC236}">
              <a16:creationId xmlns:a16="http://schemas.microsoft.com/office/drawing/2014/main" id="{48E0222F-4DC3-426B-8944-D0718042A17A}"/>
            </a:ext>
          </a:extLst>
        </xdr:cNvPr>
        <xdr:cNvSpPr/>
      </xdr:nvSpPr>
      <xdr:spPr>
        <a:xfrm>
          <a:off x="1974850" y="0"/>
          <a:ext cx="11283950" cy="7861300"/>
        </a:xfrm>
        <a:prstGeom prst="rect">
          <a:avLst/>
        </a:prstGeom>
        <a:solidFill>
          <a:schemeClr val="accent1">
            <a:lumMod val="60000"/>
            <a:lumOff val="40000"/>
          </a:schemeClr>
        </a:solidFill>
        <a:ln>
          <a:noFill/>
        </a:ln>
        <a:effectLst>
          <a:outerShdw blurRad="63500" sx="102000" sy="102000" algn="ctr" rotWithShape="0">
            <a:prstClr val="black">
              <a:alpha val="40000"/>
            </a:prstClr>
          </a:outerShdw>
        </a:effectLst>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US" sz="1100" u="sng">
            <a:ln>
              <a:noFill/>
            </a:ln>
          </a:endParaRPr>
        </a:p>
      </xdr:txBody>
    </xdr:sp>
    <xdr:clientData/>
  </xdr:twoCellAnchor>
  <xdr:twoCellAnchor>
    <xdr:from>
      <xdr:col>0</xdr:col>
      <xdr:colOff>292101</xdr:colOff>
      <xdr:row>4</xdr:row>
      <xdr:rowOff>151130</xdr:rowOff>
    </xdr:from>
    <xdr:to>
      <xdr:col>2</xdr:col>
      <xdr:colOff>342901</xdr:colOff>
      <xdr:row>6</xdr:row>
      <xdr:rowOff>81280</xdr:rowOff>
    </xdr:to>
    <xdr:sp macro="" textlink="'Question 1'!G4">
      <xdr:nvSpPr>
        <xdr:cNvPr id="7" name="TextBox 6">
          <a:extLst>
            <a:ext uri="{FF2B5EF4-FFF2-40B4-BE49-F238E27FC236}">
              <a16:creationId xmlns:a16="http://schemas.microsoft.com/office/drawing/2014/main" id="{1B37204A-D9ED-43A1-8DD4-AB28354F89CA}"/>
            </a:ext>
          </a:extLst>
        </xdr:cNvPr>
        <xdr:cNvSpPr txBox="1"/>
      </xdr:nvSpPr>
      <xdr:spPr>
        <a:xfrm>
          <a:off x="292101" y="862330"/>
          <a:ext cx="13716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477CA4-BA33-4A0E-B9A1-C937E2429969}" type="TxLink">
            <a:rPr lang="en-US" sz="1400" b="1" i="0" u="none" strike="noStrike">
              <a:solidFill>
                <a:schemeClr val="bg2"/>
              </a:solidFill>
              <a:latin typeface="Aptos Narrow"/>
            </a:rPr>
            <a:t>2,400</a:t>
          </a:fld>
          <a:endParaRPr lang="en-US" sz="1400" b="1">
            <a:solidFill>
              <a:schemeClr val="bg2"/>
            </a:solidFill>
          </a:endParaRPr>
        </a:p>
      </xdr:txBody>
    </xdr:sp>
    <xdr:clientData/>
  </xdr:twoCellAnchor>
  <xdr:twoCellAnchor>
    <xdr:from>
      <xdr:col>0</xdr:col>
      <xdr:colOff>244476</xdr:colOff>
      <xdr:row>7</xdr:row>
      <xdr:rowOff>137160</xdr:rowOff>
    </xdr:from>
    <xdr:to>
      <xdr:col>1</xdr:col>
      <xdr:colOff>485776</xdr:colOff>
      <xdr:row>9</xdr:row>
      <xdr:rowOff>73660</xdr:rowOff>
    </xdr:to>
    <xdr:sp macro="" textlink="'Question 1'!J4">
      <xdr:nvSpPr>
        <xdr:cNvPr id="9" name="TextBox 8">
          <a:extLst>
            <a:ext uri="{FF2B5EF4-FFF2-40B4-BE49-F238E27FC236}">
              <a16:creationId xmlns:a16="http://schemas.microsoft.com/office/drawing/2014/main" id="{D780D30A-BE3C-423C-9757-E1D847C0482A}"/>
            </a:ext>
          </a:extLst>
        </xdr:cNvPr>
        <xdr:cNvSpPr txBox="1"/>
      </xdr:nvSpPr>
      <xdr:spPr>
        <a:xfrm>
          <a:off x="244476" y="1381760"/>
          <a:ext cx="9017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DACAAD-66DC-4204-9804-9BD411C1565E}" type="TxLink">
            <a:rPr lang="en-US" sz="1400" b="1" i="0" u="none" strike="noStrike">
              <a:solidFill>
                <a:schemeClr val="bg1"/>
              </a:solidFill>
              <a:latin typeface="Aptos Narrow"/>
            </a:rPr>
            <a:t>11,997</a:t>
          </a:fld>
          <a:endParaRPr lang="en-US" sz="1400" b="1">
            <a:solidFill>
              <a:schemeClr val="bg1"/>
            </a:solidFill>
          </a:endParaRPr>
        </a:p>
      </xdr:txBody>
    </xdr:sp>
    <xdr:clientData/>
  </xdr:twoCellAnchor>
  <xdr:twoCellAnchor>
    <xdr:from>
      <xdr:col>0</xdr:col>
      <xdr:colOff>9526</xdr:colOff>
      <xdr:row>11</xdr:row>
      <xdr:rowOff>34290</xdr:rowOff>
    </xdr:from>
    <xdr:to>
      <xdr:col>2</xdr:col>
      <xdr:colOff>390526</xdr:colOff>
      <xdr:row>13</xdr:row>
      <xdr:rowOff>8890</xdr:rowOff>
    </xdr:to>
    <xdr:sp macro="" textlink="'Question 1'!I4">
      <xdr:nvSpPr>
        <xdr:cNvPr id="10" name="TextBox 9">
          <a:extLst>
            <a:ext uri="{FF2B5EF4-FFF2-40B4-BE49-F238E27FC236}">
              <a16:creationId xmlns:a16="http://schemas.microsoft.com/office/drawing/2014/main" id="{28DEB578-A424-4E72-A108-085EFE95FCCE}"/>
            </a:ext>
          </a:extLst>
        </xdr:cNvPr>
        <xdr:cNvSpPr txBox="1"/>
      </xdr:nvSpPr>
      <xdr:spPr>
        <a:xfrm>
          <a:off x="9526" y="1990090"/>
          <a:ext cx="17018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5DFF05-7E1D-4ED3-9499-7F6ED9CBC28F}" type="TxLink">
            <a:rPr lang="en-US" sz="1400" b="1" i="0" u="none" strike="noStrike">
              <a:solidFill>
                <a:schemeClr val="bg1"/>
              </a:solidFill>
              <a:latin typeface="Aptos Narrow"/>
            </a:rPr>
            <a:t>$649.Ok</a:t>
          </a:fld>
          <a:endParaRPr lang="en-US" sz="1400" b="1">
            <a:solidFill>
              <a:schemeClr val="bg1"/>
            </a:solidFill>
          </a:endParaRPr>
        </a:p>
      </xdr:txBody>
    </xdr:sp>
    <xdr:clientData/>
  </xdr:twoCellAnchor>
  <xdr:twoCellAnchor>
    <xdr:from>
      <xdr:col>0</xdr:col>
      <xdr:colOff>254000</xdr:colOff>
      <xdr:row>14</xdr:row>
      <xdr:rowOff>160020</xdr:rowOff>
    </xdr:from>
    <xdr:to>
      <xdr:col>2</xdr:col>
      <xdr:colOff>400050</xdr:colOff>
      <xdr:row>16</xdr:row>
      <xdr:rowOff>96520</xdr:rowOff>
    </xdr:to>
    <xdr:sp macro="" textlink="'Question 1'!K4">
      <xdr:nvSpPr>
        <xdr:cNvPr id="11" name="TextBox 10">
          <a:extLst>
            <a:ext uri="{FF2B5EF4-FFF2-40B4-BE49-F238E27FC236}">
              <a16:creationId xmlns:a16="http://schemas.microsoft.com/office/drawing/2014/main" id="{431DCC54-D8A2-49BC-9A78-252946EB9B96}"/>
            </a:ext>
          </a:extLst>
        </xdr:cNvPr>
        <xdr:cNvSpPr txBox="1"/>
      </xdr:nvSpPr>
      <xdr:spPr>
        <a:xfrm>
          <a:off x="254000" y="2649220"/>
          <a:ext cx="14668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C13540-6503-4614-BF78-B5D66E584979}" type="TxLink">
            <a:rPr lang="en-US" sz="1400" b="1" i="0" u="none" strike="noStrike">
              <a:solidFill>
                <a:schemeClr val="bg1"/>
              </a:solidFill>
              <a:latin typeface="Aptos Narrow"/>
            </a:rPr>
            <a:t>4.0</a:t>
          </a:fld>
          <a:endParaRPr lang="en-US" sz="1400" b="1">
            <a:solidFill>
              <a:schemeClr val="bg1"/>
            </a:solidFill>
          </a:endParaRPr>
        </a:p>
      </xdr:txBody>
    </xdr:sp>
    <xdr:clientData/>
  </xdr:twoCellAnchor>
  <xdr:twoCellAnchor>
    <xdr:from>
      <xdr:col>0</xdr:col>
      <xdr:colOff>266700</xdr:colOff>
      <xdr:row>18</xdr:row>
      <xdr:rowOff>82550</xdr:rowOff>
    </xdr:from>
    <xdr:to>
      <xdr:col>2</xdr:col>
      <xdr:colOff>44450</xdr:colOff>
      <xdr:row>19</xdr:row>
      <xdr:rowOff>171450</xdr:rowOff>
    </xdr:to>
    <xdr:sp macro="" textlink="'Question 1'!H4">
      <xdr:nvSpPr>
        <xdr:cNvPr id="12" name="TextBox 11">
          <a:extLst>
            <a:ext uri="{FF2B5EF4-FFF2-40B4-BE49-F238E27FC236}">
              <a16:creationId xmlns:a16="http://schemas.microsoft.com/office/drawing/2014/main" id="{904C5776-7006-4405-AD77-031A183305DB}"/>
            </a:ext>
          </a:extLst>
        </xdr:cNvPr>
        <xdr:cNvSpPr txBox="1"/>
      </xdr:nvSpPr>
      <xdr:spPr>
        <a:xfrm>
          <a:off x="266700" y="3282950"/>
          <a:ext cx="10985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376F42-00E9-4615-A568-1B182DBF1897}" type="TxLink">
            <a:rPr lang="en-US" sz="1400" b="1" i="0" u="none" strike="noStrike">
              <a:solidFill>
                <a:schemeClr val="bg1"/>
              </a:solidFill>
              <a:latin typeface="Aptos Narrow"/>
            </a:rPr>
            <a:t>2.3</a:t>
          </a:fld>
          <a:endParaRPr lang="en-US" sz="1400" b="1">
            <a:solidFill>
              <a:schemeClr val="bg1"/>
            </a:solidFill>
          </a:endParaRPr>
        </a:p>
      </xdr:txBody>
    </xdr:sp>
    <xdr:clientData/>
  </xdr:twoCellAnchor>
  <xdr:twoCellAnchor>
    <xdr:from>
      <xdr:col>0</xdr:col>
      <xdr:colOff>200026</xdr:colOff>
      <xdr:row>3</xdr:row>
      <xdr:rowOff>8890</xdr:rowOff>
    </xdr:from>
    <xdr:to>
      <xdr:col>2</xdr:col>
      <xdr:colOff>209551</xdr:colOff>
      <xdr:row>4</xdr:row>
      <xdr:rowOff>161290</xdr:rowOff>
    </xdr:to>
    <xdr:sp macro="" textlink="">
      <xdr:nvSpPr>
        <xdr:cNvPr id="13" name="TextBox 12">
          <a:extLst>
            <a:ext uri="{FF2B5EF4-FFF2-40B4-BE49-F238E27FC236}">
              <a16:creationId xmlns:a16="http://schemas.microsoft.com/office/drawing/2014/main" id="{2EE52776-490B-4B16-9D26-AB8A05489146}"/>
            </a:ext>
          </a:extLst>
        </xdr:cNvPr>
        <xdr:cNvSpPr txBox="1"/>
      </xdr:nvSpPr>
      <xdr:spPr>
        <a:xfrm>
          <a:off x="200026" y="542290"/>
          <a:ext cx="1330325"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rPr>
            <a:t>🛒Orders</a:t>
          </a:r>
        </a:p>
      </xdr:txBody>
    </xdr:sp>
    <xdr:clientData/>
  </xdr:twoCellAnchor>
  <xdr:twoCellAnchor>
    <xdr:from>
      <xdr:col>0</xdr:col>
      <xdr:colOff>104776</xdr:colOff>
      <xdr:row>6</xdr:row>
      <xdr:rowOff>71120</xdr:rowOff>
    </xdr:from>
    <xdr:to>
      <xdr:col>2</xdr:col>
      <xdr:colOff>66676</xdr:colOff>
      <xdr:row>7</xdr:row>
      <xdr:rowOff>147320</xdr:rowOff>
    </xdr:to>
    <xdr:sp macro="" textlink="'Question 1'!G4">
      <xdr:nvSpPr>
        <xdr:cNvPr id="16" name="TextBox 15">
          <a:extLst>
            <a:ext uri="{FF2B5EF4-FFF2-40B4-BE49-F238E27FC236}">
              <a16:creationId xmlns:a16="http://schemas.microsoft.com/office/drawing/2014/main" id="{3D9227AC-AA5D-47A7-AB9A-0ECA88D0F1FF}"/>
            </a:ext>
          </a:extLst>
        </xdr:cNvPr>
        <xdr:cNvSpPr txBox="1"/>
      </xdr:nvSpPr>
      <xdr:spPr>
        <a:xfrm>
          <a:off x="104776" y="1137920"/>
          <a:ext cx="12827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solidFill>
            </a:rPr>
            <a:t>👕Quantity</a:t>
          </a:r>
        </a:p>
      </xdr:txBody>
    </xdr:sp>
    <xdr:clientData/>
  </xdr:twoCellAnchor>
  <xdr:twoCellAnchor>
    <xdr:from>
      <xdr:col>8</xdr:col>
      <xdr:colOff>101600</xdr:colOff>
      <xdr:row>0</xdr:row>
      <xdr:rowOff>133350</xdr:rowOff>
    </xdr:from>
    <xdr:to>
      <xdr:col>13</xdr:col>
      <xdr:colOff>571500</xdr:colOff>
      <xdr:row>13</xdr:row>
      <xdr:rowOff>57150</xdr:rowOff>
    </xdr:to>
    <xdr:sp macro="" textlink="">
      <xdr:nvSpPr>
        <xdr:cNvPr id="29" name="TextBox 28">
          <a:extLst>
            <a:ext uri="{FF2B5EF4-FFF2-40B4-BE49-F238E27FC236}">
              <a16:creationId xmlns:a16="http://schemas.microsoft.com/office/drawing/2014/main" id="{3FB544AE-CB46-4793-9BE4-B9EA6CC288C3}"/>
            </a:ext>
          </a:extLst>
        </xdr:cNvPr>
        <xdr:cNvSpPr txBox="1"/>
      </xdr:nvSpPr>
      <xdr:spPr>
        <a:xfrm>
          <a:off x="5384800" y="133350"/>
          <a:ext cx="3771900" cy="22352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How</a:t>
          </a:r>
          <a:r>
            <a:rPr lang="en-US" sz="1100" baseline="0"/>
            <a:t> customers like to buy</a:t>
          </a:r>
          <a:endParaRPr lang="en-US" sz="1100"/>
        </a:p>
      </xdr:txBody>
    </xdr:sp>
    <xdr:clientData/>
  </xdr:twoCellAnchor>
  <xdr:twoCellAnchor>
    <xdr:from>
      <xdr:col>0</xdr:col>
      <xdr:colOff>73026</xdr:colOff>
      <xdr:row>9</xdr:row>
      <xdr:rowOff>63500</xdr:rowOff>
    </xdr:from>
    <xdr:to>
      <xdr:col>1</xdr:col>
      <xdr:colOff>466726</xdr:colOff>
      <xdr:row>11</xdr:row>
      <xdr:rowOff>44450</xdr:rowOff>
    </xdr:to>
    <xdr:sp macro="" textlink="'Question 1'!G4">
      <xdr:nvSpPr>
        <xdr:cNvPr id="17" name="TextBox 16">
          <a:extLst>
            <a:ext uri="{FF2B5EF4-FFF2-40B4-BE49-F238E27FC236}">
              <a16:creationId xmlns:a16="http://schemas.microsoft.com/office/drawing/2014/main" id="{C5BC1DF4-E33E-4084-B5D2-55579779B9BA}"/>
            </a:ext>
          </a:extLst>
        </xdr:cNvPr>
        <xdr:cNvSpPr txBox="1"/>
      </xdr:nvSpPr>
      <xdr:spPr>
        <a:xfrm>
          <a:off x="73026" y="1663700"/>
          <a:ext cx="10541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solidFill>
            </a:rPr>
            <a:t>💰Amount</a:t>
          </a:r>
        </a:p>
      </xdr:txBody>
    </xdr:sp>
    <xdr:clientData/>
  </xdr:twoCellAnchor>
  <xdr:twoCellAnchor>
    <xdr:from>
      <xdr:col>0</xdr:col>
      <xdr:colOff>63500</xdr:colOff>
      <xdr:row>12</xdr:row>
      <xdr:rowOff>176530</xdr:rowOff>
    </xdr:from>
    <xdr:to>
      <xdr:col>1</xdr:col>
      <xdr:colOff>438150</xdr:colOff>
      <xdr:row>14</xdr:row>
      <xdr:rowOff>170180</xdr:rowOff>
    </xdr:to>
    <xdr:sp macro="" textlink="'Question 1'!G4">
      <xdr:nvSpPr>
        <xdr:cNvPr id="18" name="TextBox 17">
          <a:extLst>
            <a:ext uri="{FF2B5EF4-FFF2-40B4-BE49-F238E27FC236}">
              <a16:creationId xmlns:a16="http://schemas.microsoft.com/office/drawing/2014/main" id="{99334857-755D-454C-8A92-B4930B6D6F88}"/>
            </a:ext>
          </a:extLst>
        </xdr:cNvPr>
        <xdr:cNvSpPr txBox="1"/>
      </xdr:nvSpPr>
      <xdr:spPr>
        <a:xfrm>
          <a:off x="63500" y="2310130"/>
          <a:ext cx="1035050"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solidFill>
            </a:rPr>
            <a:t>✨Rating</a:t>
          </a:r>
        </a:p>
      </xdr:txBody>
    </xdr:sp>
    <xdr:clientData/>
  </xdr:twoCellAnchor>
  <xdr:twoCellAnchor>
    <xdr:from>
      <xdr:col>0</xdr:col>
      <xdr:colOff>25400</xdr:colOff>
      <xdr:row>16</xdr:row>
      <xdr:rowOff>86360</xdr:rowOff>
    </xdr:from>
    <xdr:to>
      <xdr:col>2</xdr:col>
      <xdr:colOff>482599</xdr:colOff>
      <xdr:row>18</xdr:row>
      <xdr:rowOff>92710</xdr:rowOff>
    </xdr:to>
    <xdr:sp macro="" textlink="'Question 1'!G4">
      <xdr:nvSpPr>
        <xdr:cNvPr id="19" name="TextBox 18">
          <a:extLst>
            <a:ext uri="{FF2B5EF4-FFF2-40B4-BE49-F238E27FC236}">
              <a16:creationId xmlns:a16="http://schemas.microsoft.com/office/drawing/2014/main" id="{501BDDC5-68B6-40E5-9A00-C8A3C1F8CA87}"/>
            </a:ext>
          </a:extLst>
        </xdr:cNvPr>
        <xdr:cNvSpPr txBox="1"/>
      </xdr:nvSpPr>
      <xdr:spPr>
        <a:xfrm>
          <a:off x="25400" y="2931160"/>
          <a:ext cx="1777999"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solidFill>
            </a:rPr>
            <a:t>🗓️ Days</a:t>
          </a:r>
          <a:r>
            <a:rPr lang="en-US" sz="1400" b="1" baseline="0">
              <a:solidFill>
                <a:schemeClr val="bg2"/>
              </a:solidFill>
            </a:rPr>
            <a:t> to Deliver</a:t>
          </a:r>
          <a:endParaRPr lang="en-US" sz="1400" b="1">
            <a:solidFill>
              <a:schemeClr val="bg2"/>
            </a:solidFill>
          </a:endParaRPr>
        </a:p>
      </xdr:txBody>
    </xdr:sp>
    <xdr:clientData/>
  </xdr:twoCellAnchor>
  <xdr:twoCellAnchor>
    <xdr:from>
      <xdr:col>3</xdr:col>
      <xdr:colOff>63501</xdr:colOff>
      <xdr:row>0</xdr:row>
      <xdr:rowOff>95250</xdr:rowOff>
    </xdr:from>
    <xdr:to>
      <xdr:col>8</xdr:col>
      <xdr:colOff>57151</xdr:colOff>
      <xdr:row>13</xdr:row>
      <xdr:rowOff>69850</xdr:rowOff>
    </xdr:to>
    <xdr:graphicFrame macro="">
      <xdr:nvGraphicFramePr>
        <xdr:cNvPr id="21" name="Chart 20">
          <a:extLst>
            <a:ext uri="{FF2B5EF4-FFF2-40B4-BE49-F238E27FC236}">
              <a16:creationId xmlns:a16="http://schemas.microsoft.com/office/drawing/2014/main" id="{D19F1CC4-43BC-49DD-BB04-1DBBEAE4E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12700</xdr:rowOff>
    </xdr:from>
    <xdr:to>
      <xdr:col>2</xdr:col>
      <xdr:colOff>644525</xdr:colOff>
      <xdr:row>3</xdr:row>
      <xdr:rowOff>19050</xdr:rowOff>
    </xdr:to>
    <xdr:sp macro="" textlink="'Question 1'!G4">
      <xdr:nvSpPr>
        <xdr:cNvPr id="24" name="TextBox 23">
          <a:extLst>
            <a:ext uri="{FF2B5EF4-FFF2-40B4-BE49-F238E27FC236}">
              <a16:creationId xmlns:a16="http://schemas.microsoft.com/office/drawing/2014/main" id="{F7D0F9D4-3F73-45AB-94B8-ADBFF0059EF0}"/>
            </a:ext>
          </a:extLst>
        </xdr:cNvPr>
        <xdr:cNvSpPr txBox="1"/>
      </xdr:nvSpPr>
      <xdr:spPr>
        <a:xfrm>
          <a:off x="0" y="12700"/>
          <a:ext cx="1965325"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6"/>
              </a:solidFill>
            </a:rPr>
            <a:t>Eccomerce</a:t>
          </a:r>
          <a:r>
            <a:rPr lang="en-US" sz="1400" b="1" baseline="0">
              <a:solidFill>
                <a:schemeClr val="accent6"/>
              </a:solidFill>
            </a:rPr>
            <a:t> Analysis Vivo Calif</a:t>
          </a:r>
          <a:endParaRPr lang="en-US" sz="1400" b="1">
            <a:solidFill>
              <a:schemeClr val="accent6"/>
            </a:solidFill>
          </a:endParaRPr>
        </a:p>
      </xdr:txBody>
    </xdr:sp>
    <xdr:clientData/>
  </xdr:twoCellAnchor>
  <xdr:twoCellAnchor>
    <xdr:from>
      <xdr:col>6</xdr:col>
      <xdr:colOff>69851</xdr:colOff>
      <xdr:row>23</xdr:row>
      <xdr:rowOff>139700</xdr:rowOff>
    </xdr:from>
    <xdr:to>
      <xdr:col>8</xdr:col>
      <xdr:colOff>25401</xdr:colOff>
      <xdr:row>34</xdr:row>
      <xdr:rowOff>82550</xdr:rowOff>
    </xdr:to>
    <xdr:graphicFrame macro="">
      <xdr:nvGraphicFramePr>
        <xdr:cNvPr id="41" name="Chart 40">
          <a:extLst>
            <a:ext uri="{FF2B5EF4-FFF2-40B4-BE49-F238E27FC236}">
              <a16:creationId xmlns:a16="http://schemas.microsoft.com/office/drawing/2014/main" id="{664E753D-D4C8-4A96-BF65-AED863D7A8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190500</xdr:colOff>
          <xdr:row>2</xdr:row>
          <xdr:rowOff>50800</xdr:rowOff>
        </xdr:from>
        <xdr:to>
          <xdr:col>13</xdr:col>
          <xdr:colOff>323850</xdr:colOff>
          <xdr:row>12</xdr:row>
          <xdr:rowOff>88900</xdr:rowOff>
        </xdr:to>
        <xdr:pic>
          <xdr:nvPicPr>
            <xdr:cNvPr id="30" name="Picture 29">
              <a:extLst>
                <a:ext uri="{FF2B5EF4-FFF2-40B4-BE49-F238E27FC236}">
                  <a16:creationId xmlns:a16="http://schemas.microsoft.com/office/drawing/2014/main" id="{73347B91-0E74-44CA-B92E-52116AAAD087}"/>
                </a:ext>
              </a:extLst>
            </xdr:cNvPr>
            <xdr:cNvPicPr>
              <a:picLocks noChangeAspect="1" noChangeArrowheads="1"/>
              <a:extLst>
                <a:ext uri="{84589F7E-364E-4C9E-8A38-B11213B215E9}">
                  <a14:cameraTool cellRange="'Question 2'!$I$3:$M$9" spid="_x0000_s3087"/>
                </a:ext>
              </a:extLst>
            </xdr:cNvPicPr>
          </xdr:nvPicPr>
          <xdr:blipFill>
            <a:blip xmlns:r="http://schemas.openxmlformats.org/officeDocument/2006/relationships" r:embed="rId3"/>
            <a:srcRect/>
            <a:stretch>
              <a:fillRect/>
            </a:stretch>
          </xdr:blipFill>
          <xdr:spPr bwMode="auto">
            <a:xfrm>
              <a:off x="5473700" y="406400"/>
              <a:ext cx="3435350" cy="18161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14</xdr:col>
      <xdr:colOff>69851</xdr:colOff>
      <xdr:row>0</xdr:row>
      <xdr:rowOff>0</xdr:rowOff>
    </xdr:from>
    <xdr:to>
      <xdr:col>18</xdr:col>
      <xdr:colOff>292100</xdr:colOff>
      <xdr:row>11</xdr:row>
      <xdr:rowOff>127000</xdr:rowOff>
    </xdr:to>
    <xdr:graphicFrame macro="">
      <xdr:nvGraphicFramePr>
        <xdr:cNvPr id="32" name="Chart 31">
          <a:extLst>
            <a:ext uri="{FF2B5EF4-FFF2-40B4-BE49-F238E27FC236}">
              <a16:creationId xmlns:a16="http://schemas.microsoft.com/office/drawing/2014/main" id="{761EDFBB-551D-4F0D-8BDA-47264C4249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44450</xdr:colOff>
      <xdr:row>13</xdr:row>
      <xdr:rowOff>146050</xdr:rowOff>
    </xdr:from>
    <xdr:to>
      <xdr:col>8</xdr:col>
      <xdr:colOff>101600</xdr:colOff>
      <xdr:row>37</xdr:row>
      <xdr:rowOff>82550</xdr:rowOff>
    </xdr:to>
    <xdr:graphicFrame macro="">
      <xdr:nvGraphicFramePr>
        <xdr:cNvPr id="36" name="Chart 35">
          <a:extLst>
            <a:ext uri="{FF2B5EF4-FFF2-40B4-BE49-F238E27FC236}">
              <a16:creationId xmlns:a16="http://schemas.microsoft.com/office/drawing/2014/main" id="{2E5CA0B2-021A-43EC-B24D-21519B9E5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527050</xdr:colOff>
      <xdr:row>24</xdr:row>
      <xdr:rowOff>146050</xdr:rowOff>
    </xdr:from>
    <xdr:to>
      <xdr:col>8</xdr:col>
      <xdr:colOff>12701</xdr:colOff>
      <xdr:row>33</xdr:row>
      <xdr:rowOff>139700</xdr:rowOff>
    </xdr:to>
    <xdr:graphicFrame macro="">
      <xdr:nvGraphicFramePr>
        <xdr:cNvPr id="42" name="Chart 41">
          <a:extLst>
            <a:ext uri="{FF2B5EF4-FFF2-40B4-BE49-F238E27FC236}">
              <a16:creationId xmlns:a16="http://schemas.microsoft.com/office/drawing/2014/main" id="{FF6EA13A-7A5C-48E6-B9CA-443A60FFC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203200</xdr:colOff>
      <xdr:row>14</xdr:row>
      <xdr:rowOff>165100</xdr:rowOff>
    </xdr:from>
    <xdr:to>
      <xdr:col>13</xdr:col>
      <xdr:colOff>546100</xdr:colOff>
      <xdr:row>37</xdr:row>
      <xdr:rowOff>107950</xdr:rowOff>
    </xdr:to>
    <mc:AlternateContent xmlns:mc="http://schemas.openxmlformats.org/markup-compatibility/2006">
      <mc:Choice xmlns:cx4="http://schemas.microsoft.com/office/drawing/2016/5/10/chartex" Requires="cx4">
        <xdr:graphicFrame macro="">
          <xdr:nvGraphicFramePr>
            <xdr:cNvPr id="43" name="Chart 42">
              <a:extLst>
                <a:ext uri="{FF2B5EF4-FFF2-40B4-BE49-F238E27FC236}">
                  <a16:creationId xmlns:a16="http://schemas.microsoft.com/office/drawing/2014/main" id="{D2152B4F-2FE2-443E-8CED-CCB6ADD988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486400" y="2654300"/>
              <a:ext cx="3644900" cy="4032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374650</xdr:colOff>
      <xdr:row>19</xdr:row>
      <xdr:rowOff>88900</xdr:rowOff>
    </xdr:from>
    <xdr:to>
      <xdr:col>13</xdr:col>
      <xdr:colOff>273050</xdr:colOff>
      <xdr:row>26</xdr:row>
      <xdr:rowOff>158750</xdr:rowOff>
    </xdr:to>
    <mc:AlternateContent xmlns:mc="http://schemas.openxmlformats.org/markup-compatibility/2006">
      <mc:Choice xmlns:cx4="http://schemas.microsoft.com/office/drawing/2016/5/10/chartex" Requires="cx4">
        <xdr:graphicFrame macro="">
          <xdr:nvGraphicFramePr>
            <xdr:cNvPr id="44" name="Chart 43">
              <a:extLst>
                <a:ext uri="{FF2B5EF4-FFF2-40B4-BE49-F238E27FC236}">
                  <a16:creationId xmlns:a16="http://schemas.microsoft.com/office/drawing/2014/main" id="{71E7D257-A14D-44F5-BFF4-ECDD429390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639050" y="3467100"/>
              <a:ext cx="1219200" cy="13144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635000</xdr:colOff>
      <xdr:row>12</xdr:row>
      <xdr:rowOff>44450</xdr:rowOff>
    </xdr:from>
    <xdr:to>
      <xdr:col>18</xdr:col>
      <xdr:colOff>234950</xdr:colOff>
      <xdr:row>28</xdr:row>
      <xdr:rowOff>44450</xdr:rowOff>
    </xdr:to>
    <xdr:graphicFrame macro="">
      <xdr:nvGraphicFramePr>
        <xdr:cNvPr id="45" name="Chart 44">
          <a:extLst>
            <a:ext uri="{FF2B5EF4-FFF2-40B4-BE49-F238E27FC236}">
              <a16:creationId xmlns:a16="http://schemas.microsoft.com/office/drawing/2014/main" id="{02B8C70E-D561-4862-89F1-A7FC18E1F3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654050</xdr:colOff>
      <xdr:row>29</xdr:row>
      <xdr:rowOff>12700</xdr:rowOff>
    </xdr:from>
    <xdr:to>
      <xdr:col>19</xdr:col>
      <xdr:colOff>44450</xdr:colOff>
      <xdr:row>42</xdr:row>
      <xdr:rowOff>38100</xdr:rowOff>
    </xdr:to>
    <xdr:graphicFrame macro="">
      <xdr:nvGraphicFramePr>
        <xdr:cNvPr id="46" name="Chart 45">
          <a:extLst>
            <a:ext uri="{FF2B5EF4-FFF2-40B4-BE49-F238E27FC236}">
              <a16:creationId xmlns:a16="http://schemas.microsoft.com/office/drawing/2014/main" id="{FD2B67E2-2AD9-4C0E-9447-1C29E8A11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0</xdr:colOff>
      <xdr:row>20</xdr:row>
      <xdr:rowOff>31751</xdr:rowOff>
    </xdr:from>
    <xdr:to>
      <xdr:col>2</xdr:col>
      <xdr:colOff>508000</xdr:colOff>
      <xdr:row>29</xdr:row>
      <xdr:rowOff>95251</xdr:rowOff>
    </xdr:to>
    <mc:AlternateContent xmlns:mc="http://schemas.openxmlformats.org/markup-compatibility/2006">
      <mc:Choice xmlns:a14="http://schemas.microsoft.com/office/drawing/2010/main" Requires="a14">
        <xdr:graphicFrame macro="">
          <xdr:nvGraphicFramePr>
            <xdr:cNvPr id="53" name="Order Mode">
              <a:extLst>
                <a:ext uri="{FF2B5EF4-FFF2-40B4-BE49-F238E27FC236}">
                  <a16:creationId xmlns:a16="http://schemas.microsoft.com/office/drawing/2014/main" id="{DDBB3CAF-1120-4976-8097-2FCED123D702}"/>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0" y="3587751"/>
              <a:ext cx="1828800" cy="1663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171450</xdr:rowOff>
    </xdr:from>
    <xdr:to>
      <xdr:col>2</xdr:col>
      <xdr:colOff>508000</xdr:colOff>
      <xdr:row>43</xdr:row>
      <xdr:rowOff>121703</xdr:rowOff>
    </xdr:to>
    <mc:AlternateContent xmlns:mc="http://schemas.openxmlformats.org/markup-compatibility/2006">
      <mc:Choice xmlns:a14="http://schemas.microsoft.com/office/drawing/2010/main" Requires="a14">
        <xdr:graphicFrame macro="">
          <xdr:nvGraphicFramePr>
            <xdr:cNvPr id="56" name="Gender Value">
              <a:extLst>
                <a:ext uri="{FF2B5EF4-FFF2-40B4-BE49-F238E27FC236}">
                  <a16:creationId xmlns:a16="http://schemas.microsoft.com/office/drawing/2014/main" id="{46933DE2-BAB2-4544-B55B-95132BFEE8BD}"/>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0" y="5327650"/>
              <a:ext cx="1828800" cy="24394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c:userShapes xmlns:c="http://schemas.openxmlformats.org/drawingml/2006/chart">
  <cdr:relSizeAnchor xmlns:cdr="http://schemas.openxmlformats.org/drawingml/2006/chartDrawing">
    <cdr:from>
      <cdr:x>0</cdr:x>
      <cdr:y>0.01338</cdr:y>
    </cdr:from>
    <cdr:to>
      <cdr:x>1</cdr:x>
      <cdr:y>1</cdr:y>
    </cdr:to>
    <cdr:sp macro="" textlink="">
      <cdr:nvSpPr>
        <cdr:cNvPr id="2" name="TextBox 1">
          <a:extLst xmlns:a="http://schemas.openxmlformats.org/drawingml/2006/main">
            <a:ext uri="{FF2B5EF4-FFF2-40B4-BE49-F238E27FC236}">
              <a16:creationId xmlns:a16="http://schemas.microsoft.com/office/drawing/2014/main" id="{414C4756-965D-4523-AF91-BC78BA857F46}"/>
            </a:ext>
          </a:extLst>
        </cdr:cNvPr>
        <cdr:cNvSpPr txBox="1"/>
      </cdr:nvSpPr>
      <cdr:spPr>
        <a:xfrm xmlns:a="http://schemas.openxmlformats.org/drawingml/2006/main">
          <a:off x="0" y="25400"/>
          <a:ext cx="1276350" cy="1873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7.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twoCellAnchor editAs="oneCell">
    <xdr:from>
      <xdr:col>7</xdr:col>
      <xdr:colOff>1</xdr:colOff>
      <xdr:row>7</xdr:row>
      <xdr:rowOff>1</xdr:rowOff>
    </xdr:from>
    <xdr:to>
      <xdr:col>8</xdr:col>
      <xdr:colOff>1</xdr:colOff>
      <xdr:row>21</xdr:row>
      <xdr:rowOff>1</xdr:rowOff>
    </xdr:to>
    <xdr:pic>
      <xdr:nvPicPr>
        <xdr:cNvPr id="5" name="Picture 4">
          <a:hlinkClick xmlns:r="http://schemas.openxmlformats.org/officeDocument/2006/relationships" r:id="rId4"/>
          <a:extLst>
            <a:ext uri="{FF2B5EF4-FFF2-40B4-BE49-F238E27FC236}">
              <a16:creationId xmlns:a16="http://schemas.microsoft.com/office/drawing/2014/main" id="{87527581-9CC7-32E2-D643-E625DB568F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86201" y="1280161"/>
          <a:ext cx="2560320" cy="25603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95.553853935184" createdVersion="7" refreshedVersion="7" minRefreshableVersion="3" recordCount="2400" xr:uid="{D527AB9F-5B86-4A04-85E2-BBE8FF6576C9}">
  <cacheSource type="worksheet">
    <worksheetSource name="orders"/>
  </cacheSource>
  <cacheFields count="17">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3"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Months"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16598560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5E960B-3766-4FAF-9548-0610C1967A88}" name="PivotT QN1"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5:C29" firstHeaderRow="0" firstDataRow="1" firstDataCol="1"/>
  <pivotFields count="17">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Amount" fld="4" baseField="0" baseItem="0" numFmtId="164"/>
    <dataField name="Sum of Quantity" fld="2"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A042B8-F928-4518-BDDE-FFC5B5BB3651}" name="PivotTable1"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4" firstHeaderRow="0" firstDataRow="1" firstDataCol="0"/>
  <pivotFields count="17">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Average of Days to Deliver" fld="12" subtotal="average" baseField="0" baseItem="0"/>
    <dataField name="Sum of Amount" fld="4" baseField="0" baseItem="0"/>
    <dataField name="Sum of Quantity" fld="2" baseField="0" baseItem="0"/>
    <dataField name="Average of Rating C"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88C5B4-6089-45F7-BB15-E35917A067B3}" name="PivotTQn2"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F10" firstHeaderRow="1" firstDataRow="2" firstDataCol="1"/>
  <pivotFields count="17">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C8A8D1-1E90-408C-86D3-A0D1CC76B76A}" name="PivotTqn3"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1"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DD460E-5962-47BD-83CF-DB3DC9AB4ED3}" name="Pivotqn 4&amp;5"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I3:J8" firstHeaderRow="1" firstDataRow="1" firstDataCol="1"/>
  <pivotFields count="17">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5">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4" count="1" selected="0">
            <x v="1"/>
          </reference>
        </references>
      </pivotArea>
    </chartFormat>
    <chartFormat chart="11" format="1">
      <pivotArea type="data" outline="0" fieldPosition="0">
        <references count="2">
          <reference field="4294967294" count="1" selected="0">
            <x v="0"/>
          </reference>
          <reference field="14" count="1" selected="0">
            <x v="0"/>
          </reference>
        </references>
      </pivotArea>
    </chartFormat>
    <chartFormat chart="11" format="2">
      <pivotArea type="data" outline="0" fieldPosition="0">
        <references count="2">
          <reference field="4294967294" count="1" selected="0">
            <x v="0"/>
          </reference>
          <reference field="14" count="1" selected="0">
            <x v="3"/>
          </reference>
        </references>
      </pivotArea>
    </chartFormat>
    <chartFormat chart="11" format="3">
      <pivotArea type="data" outline="0" fieldPosition="0">
        <references count="2">
          <reference field="4294967294" count="1" selected="0">
            <x v="0"/>
          </reference>
          <reference field="14" count="1" selected="0">
            <x v="2"/>
          </reference>
        </references>
      </pivotArea>
    </chartFormat>
    <chartFormat chart="17" format="9" series="1">
      <pivotArea type="data" outline="0" fieldPosition="0">
        <references count="1">
          <reference field="4294967294" count="1" selected="0">
            <x v="0"/>
          </reference>
        </references>
      </pivotArea>
    </chartFormat>
    <chartFormat chart="17" format="10">
      <pivotArea type="data" outline="0" fieldPosition="0">
        <references count="2">
          <reference field="4294967294" count="1" selected="0">
            <x v="0"/>
          </reference>
          <reference field="14" count="1" selected="0">
            <x v="0"/>
          </reference>
        </references>
      </pivotArea>
    </chartFormat>
    <chartFormat chart="17" format="11">
      <pivotArea type="data" outline="0" fieldPosition="0">
        <references count="2">
          <reference field="4294967294" count="1" selected="0">
            <x v="0"/>
          </reference>
          <reference field="14" count="1" selected="0">
            <x v="1"/>
          </reference>
        </references>
      </pivotArea>
    </chartFormat>
    <chartFormat chart="17" format="12">
      <pivotArea type="data" outline="0" fieldPosition="0">
        <references count="2">
          <reference field="4294967294" count="1" selected="0">
            <x v="0"/>
          </reference>
          <reference field="14" count="1" selected="0">
            <x v="2"/>
          </reference>
        </references>
      </pivotArea>
    </chartFormat>
    <chartFormat chart="17" format="13">
      <pivotArea type="data" outline="0" fieldPosition="0">
        <references count="2">
          <reference field="4294967294" count="1" selected="0">
            <x v="0"/>
          </reference>
          <reference field="14" count="1" selected="0">
            <x v="3"/>
          </reference>
        </references>
      </pivotArea>
    </chartFormat>
    <chartFormat chart="20" format="9" series="1">
      <pivotArea type="data" outline="0" fieldPosition="0">
        <references count="1">
          <reference field="4294967294" count="1" selected="0">
            <x v="0"/>
          </reference>
        </references>
      </pivotArea>
    </chartFormat>
    <chartFormat chart="20" format="10">
      <pivotArea type="data" outline="0" fieldPosition="0">
        <references count="2">
          <reference field="4294967294" count="1" selected="0">
            <x v="0"/>
          </reference>
          <reference field="14" count="1" selected="0">
            <x v="0"/>
          </reference>
        </references>
      </pivotArea>
    </chartFormat>
    <chartFormat chart="20" format="11">
      <pivotArea type="data" outline="0" fieldPosition="0">
        <references count="2">
          <reference field="4294967294" count="1" selected="0">
            <x v="0"/>
          </reference>
          <reference field="14" count="1" selected="0">
            <x v="1"/>
          </reference>
        </references>
      </pivotArea>
    </chartFormat>
    <chartFormat chart="20" format="12">
      <pivotArea type="data" outline="0" fieldPosition="0">
        <references count="2">
          <reference field="4294967294" count="1" selected="0">
            <x v="0"/>
          </reference>
          <reference field="14" count="1" selected="0">
            <x v="2"/>
          </reference>
        </references>
      </pivotArea>
    </chartFormat>
    <chartFormat chart="20" format="13">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A1A795-8283-4816-9470-82324860BEBA}" name="PivotTable7"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F25" firstHeaderRow="1" firstDataRow="2" firstDataCol="1"/>
  <pivotFields count="17">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8" format="8" series="1">
      <pivotArea type="data" outline="0" fieldPosition="0">
        <references count="2">
          <reference field="4294967294" count="1" selected="0">
            <x v="0"/>
          </reference>
          <reference field="14" count="1" selected="0">
            <x v="0"/>
          </reference>
        </references>
      </pivotArea>
    </chartFormat>
    <chartFormat chart="8" format="9" series="1">
      <pivotArea type="data" outline="0" fieldPosition="0">
        <references count="2">
          <reference field="4294967294" count="1" selected="0">
            <x v="0"/>
          </reference>
          <reference field="14" count="1" selected="0">
            <x v="1"/>
          </reference>
        </references>
      </pivotArea>
    </chartFormat>
    <chartFormat chart="8" format="10" series="1">
      <pivotArea type="data" outline="0" fieldPosition="0">
        <references count="2">
          <reference field="4294967294" count="1" selected="0">
            <x v="0"/>
          </reference>
          <reference field="14" count="1" selected="0">
            <x v="2"/>
          </reference>
        </references>
      </pivotArea>
    </chartFormat>
    <chartFormat chart="8"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D5E312-796F-4276-B953-5FEB385439F5}" name="PivotTqn 6" cacheId="36"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A5:D64" firstHeaderRow="0" firstDataRow="1" firstDataCol="2"/>
  <pivotFields count="17">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5"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numFmtId="1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x="3"/>
        <item x="4"/>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x="1"/>
        <item x="3"/>
        <item x="0"/>
        <item t="default"/>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0"/>
    <field x="11"/>
  </rowFields>
  <rowItems count="59">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E08F9C-42FB-4751-BB9D-B82137C59F82}" name="PivotTqn 7"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9"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E234E11-2470-4A84-8AA9-150CAA9C5736}" name="PivotTqn 8" cacheId="3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G8" firstHeaderRow="1" firstDataRow="2"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3">
    <chartFormat chart="0" format="0" series="1">
      <pivotArea type="data" outline="0" fieldPosition="0">
        <references count="2">
          <reference field="4294967294" count="1" selected="0">
            <x v="0"/>
          </reference>
          <reference field="16" count="1" selected="0">
            <x v="1"/>
          </reference>
        </references>
      </pivotArea>
    </chartFormat>
    <chartFormat chart="0" format="1" series="1">
      <pivotArea type="data" outline="0" fieldPosition="0">
        <references count="2">
          <reference field="4294967294" count="1" selected="0">
            <x v="0"/>
          </reference>
          <reference field="16" count="1" selected="0">
            <x v="2"/>
          </reference>
        </references>
      </pivotArea>
    </chartFormat>
    <chartFormat chart="0" format="2" series="1">
      <pivotArea type="data" outline="0" fieldPosition="0">
        <references count="2">
          <reference field="4294967294" count="1" selected="0">
            <x v="0"/>
          </reference>
          <reference field="16" count="1" selected="0">
            <x v="3"/>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0"/>
          </reference>
        </references>
      </pivotArea>
    </chartFormat>
    <chartFormat chart="0" format="6" series="1">
      <pivotArea type="data" outline="0" fieldPosition="0">
        <references count="2">
          <reference field="4294967294" count="1" selected="0">
            <x v="0"/>
          </reference>
          <reference field="9" count="1" selected="0">
            <x v="1"/>
          </reference>
        </references>
      </pivotArea>
    </chartFormat>
    <chartFormat chart="0" format="7" series="1">
      <pivotArea type="data" outline="0" fieldPosition="0">
        <references count="2">
          <reference field="4294967294" count="1" selected="0">
            <x v="0"/>
          </reference>
          <reference field="9" count="1" selected="0">
            <x v="2"/>
          </reference>
        </references>
      </pivotArea>
    </chartFormat>
    <chartFormat chart="2" format="13" series="1">
      <pivotArea type="data" outline="0" fieldPosition="0">
        <references count="2">
          <reference field="4294967294" count="1" selected="0">
            <x v="0"/>
          </reference>
          <reference field="9" count="1" selected="0">
            <x v="0"/>
          </reference>
        </references>
      </pivotArea>
    </chartFormat>
    <chartFormat chart="2" format="14" series="1">
      <pivotArea type="data" outline="0" fieldPosition="0">
        <references count="2">
          <reference field="4294967294" count="1" selected="0">
            <x v="0"/>
          </reference>
          <reference field="9" count="1" selected="0">
            <x v="1"/>
          </reference>
        </references>
      </pivotArea>
    </chartFormat>
    <chartFormat chart="2" format="15" series="1">
      <pivotArea type="data" outline="0" fieldPosition="0">
        <references count="2">
          <reference field="4294967294" count="1" selected="0">
            <x v="0"/>
          </reference>
          <reference field="9" count="1" selected="0">
            <x v="2"/>
          </reference>
        </references>
      </pivotArea>
    </chartFormat>
    <chartFormat chart="2" format="16" series="1">
      <pivotArea type="data" outline="0" fieldPosition="0">
        <references count="2">
          <reference field="4294967294" count="1" selected="0">
            <x v="0"/>
          </reference>
          <reference field="9" count="1" selected="0">
            <x v="3"/>
          </reference>
        </references>
      </pivotArea>
    </chartFormat>
    <chartFormat chart="2"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D7B37E0B-1B95-426A-8CB2-9177473DD991}" sourceName="Order Mode">
  <pivotTables>
    <pivotTable tabId="14" name="PivotTqn 8"/>
    <pivotTable tabId="10" name="PivotTqn3"/>
    <pivotTable tabId="11" name="Pivotqn 4&amp;5"/>
    <pivotTable tabId="11" name="PivotTable7"/>
    <pivotTable tabId="12" name="PivotTqn 6"/>
    <pivotTable tabId="13" name="PivotTqn 7"/>
  </pivotTables>
  <data>
    <tabular pivotCacheId="1659856068">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5073297A-3BF0-4739-821F-103F16E97D32}" sourceName="Gender Value">
  <pivotTables>
    <pivotTable tabId="14" name="PivotTqn 8"/>
    <pivotTable tabId="5" name="PivotT QN1"/>
    <pivotTable tabId="9" name="PivotTQn2"/>
    <pivotTable tabId="10" name="PivotTqn3"/>
    <pivotTable tabId="12" name="PivotTqn 6"/>
    <pivotTable tabId="13" name="PivotTqn 7"/>
  </pivotTables>
  <data>
    <tabular pivotCacheId="1659856068">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1BE0399C-D32D-402D-BF88-70606C37C9D4}" cache="Slicer_Order_Mode" caption="Order Mode" rowHeight="230716"/>
  <slicer name="Gender Value" xr10:uid="{D9DC85E3-F478-4BE3-907E-7D21AA6CE413}" cache="Slicer_Gender_Value" caption="Gender Valu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Carlifonia">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C0000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86AAB-6BF1-49A4-B953-8C6E89335958}">
  <dimension ref="A2:K29"/>
  <sheetViews>
    <sheetView topLeftCell="A10" workbookViewId="0">
      <selection activeCell="B15" sqref="B15"/>
    </sheetView>
  </sheetViews>
  <sheetFormatPr defaultRowHeight="14"/>
  <cols>
    <col min="1" max="1" width="12.9140625" bestFit="1" customWidth="1"/>
    <col min="2" max="2" width="14.08203125" bestFit="1" customWidth="1"/>
    <col min="3" max="4" width="14.5" bestFit="1" customWidth="1"/>
    <col min="5" max="5" width="18" bestFit="1" customWidth="1"/>
    <col min="10" max="10" width="10.58203125" customWidth="1"/>
  </cols>
  <sheetData>
    <row r="2" spans="1:11">
      <c r="G2" t="s">
        <v>2557</v>
      </c>
    </row>
    <row r="3" spans="1:11">
      <c r="A3" t="s">
        <v>2552</v>
      </c>
      <c r="B3" t="s">
        <v>2556</v>
      </c>
      <c r="C3" t="s">
        <v>2554</v>
      </c>
      <c r="D3" t="s">
        <v>2553</v>
      </c>
      <c r="E3" t="s">
        <v>2555</v>
      </c>
      <c r="G3" t="s">
        <v>2538</v>
      </c>
      <c r="H3" t="s">
        <v>2559</v>
      </c>
      <c r="I3" t="s">
        <v>4</v>
      </c>
      <c r="J3" t="s">
        <v>2</v>
      </c>
      <c r="K3" t="s">
        <v>2558</v>
      </c>
    </row>
    <row r="4" spans="1:11">
      <c r="A4" s="12">
        <v>2400</v>
      </c>
      <c r="B4" s="12">
        <v>2.3424999999999998</v>
      </c>
      <c r="C4" s="12">
        <v>649019.80000000144</v>
      </c>
      <c r="D4" s="12">
        <v>11997</v>
      </c>
      <c r="E4" s="12">
        <v>3.9620833333333332</v>
      </c>
      <c r="G4" t="str">
        <f>TEXT(A4,"#,##")</f>
        <v>2,400</v>
      </c>
      <c r="H4" t="str">
        <f>TEXT(B4,"0.0")</f>
        <v>2.3</v>
      </c>
      <c r="I4" t="str">
        <f>TEXT(C4,"$#,##,.Ok")</f>
        <v>$649.Ok</v>
      </c>
      <c r="J4" t="str">
        <f t="shared" ref="H4:K4" si="0">TEXT(D4,"#,##")</f>
        <v>11,997</v>
      </c>
      <c r="K4" t="str">
        <f>TEXT(E4,"0.0")</f>
        <v>4.0</v>
      </c>
    </row>
    <row r="15" spans="1:11">
      <c r="A15" s="13" t="s">
        <v>2560</v>
      </c>
      <c r="B15" t="s">
        <v>2554</v>
      </c>
      <c r="C15" t="s">
        <v>2553</v>
      </c>
    </row>
    <row r="16" spans="1:11">
      <c r="A16" s="14">
        <v>1</v>
      </c>
      <c r="B16" s="15">
        <v>32413.300000000003</v>
      </c>
      <c r="C16" s="12">
        <v>546</v>
      </c>
    </row>
    <row r="17" spans="1:3">
      <c r="A17" s="14">
        <v>2</v>
      </c>
      <c r="B17" s="15">
        <v>49562.999999999993</v>
      </c>
      <c r="C17" s="12">
        <v>905</v>
      </c>
    </row>
    <row r="18" spans="1:3">
      <c r="A18" s="14">
        <v>3</v>
      </c>
      <c r="B18" s="15">
        <v>41700.400000000016</v>
      </c>
      <c r="C18" s="12">
        <v>796</v>
      </c>
    </row>
    <row r="19" spans="1:3">
      <c r="A19" s="14">
        <v>4</v>
      </c>
      <c r="B19" s="15">
        <v>46782.599999999984</v>
      </c>
      <c r="C19" s="12">
        <v>913</v>
      </c>
    </row>
    <row r="20" spans="1:3">
      <c r="A20" s="14">
        <v>5</v>
      </c>
      <c r="B20" s="15">
        <v>42676.100000000006</v>
      </c>
      <c r="C20" s="12">
        <v>844</v>
      </c>
    </row>
    <row r="21" spans="1:3">
      <c r="A21" s="14">
        <v>6</v>
      </c>
      <c r="B21" s="15">
        <v>62910.7</v>
      </c>
      <c r="C21" s="12">
        <v>1202</v>
      </c>
    </row>
    <row r="22" spans="1:3">
      <c r="A22" s="14">
        <v>7</v>
      </c>
      <c r="B22" s="15">
        <v>50332.200000000004</v>
      </c>
      <c r="C22" s="12">
        <v>935</v>
      </c>
    </row>
    <row r="23" spans="1:3">
      <c r="A23" s="14">
        <v>8</v>
      </c>
      <c r="B23" s="15">
        <v>58760.599999999977</v>
      </c>
      <c r="C23" s="12">
        <v>1128</v>
      </c>
    </row>
    <row r="24" spans="1:3">
      <c r="A24" s="14">
        <v>9</v>
      </c>
      <c r="B24" s="15">
        <v>52017.299999999996</v>
      </c>
      <c r="C24" s="12">
        <v>1007</v>
      </c>
    </row>
    <row r="25" spans="1:3">
      <c r="A25" s="14">
        <v>10</v>
      </c>
      <c r="B25" s="15">
        <v>64915.700000000033</v>
      </c>
      <c r="C25" s="12">
        <v>1128</v>
      </c>
    </row>
    <row r="26" spans="1:3">
      <c r="A26" s="14">
        <v>11</v>
      </c>
      <c r="B26" s="15">
        <v>45943.80000000001</v>
      </c>
      <c r="C26" s="12">
        <v>861</v>
      </c>
    </row>
    <row r="27" spans="1:3">
      <c r="A27" s="14">
        <v>12</v>
      </c>
      <c r="B27" s="15">
        <v>55077.900000000031</v>
      </c>
      <c r="C27" s="12">
        <v>944</v>
      </c>
    </row>
    <row r="28" spans="1:3">
      <c r="A28" s="14">
        <v>13</v>
      </c>
      <c r="B28" s="15">
        <v>45926.19999999999</v>
      </c>
      <c r="C28" s="12">
        <v>788</v>
      </c>
    </row>
    <row r="29" spans="1:3">
      <c r="A29" s="14" t="s">
        <v>2561</v>
      </c>
      <c r="B29" s="15">
        <v>649019.79999999993</v>
      </c>
      <c r="C29" s="12">
        <v>11997</v>
      </c>
    </row>
  </sheetData>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010D2-3AE8-4E2E-BB8E-0226022BC470}">
  <dimension ref="A2:M10"/>
  <sheetViews>
    <sheetView showGridLines="0" workbookViewId="0">
      <selection activeCell="E6" sqref="E6"/>
    </sheetView>
  </sheetViews>
  <sheetFormatPr defaultRowHeight="14"/>
  <cols>
    <col min="1" max="1" width="14.08203125" bestFit="1" customWidth="1"/>
    <col min="2" max="2" width="15.58203125" bestFit="1" customWidth="1"/>
    <col min="3" max="3" width="5.9140625" bestFit="1" customWidth="1"/>
    <col min="4" max="4" width="5.5" bestFit="1" customWidth="1"/>
    <col min="5" max="5" width="9" bestFit="1" customWidth="1"/>
    <col min="6" max="6" width="10.83203125" bestFit="1" customWidth="1"/>
    <col min="9" max="9" width="10.33203125" bestFit="1" customWidth="1"/>
  </cols>
  <sheetData>
    <row r="2" spans="1:13">
      <c r="I2" t="s">
        <v>2567</v>
      </c>
    </row>
    <row r="3" spans="1:13">
      <c r="A3" s="13" t="s">
        <v>2554</v>
      </c>
      <c r="B3" s="13" t="s">
        <v>2562</v>
      </c>
    </row>
    <row r="4" spans="1:13">
      <c r="A4" s="13" t="s">
        <v>2560</v>
      </c>
      <c r="B4" t="s">
        <v>2563</v>
      </c>
      <c r="C4" t="s">
        <v>2564</v>
      </c>
      <c r="D4" t="s">
        <v>2565</v>
      </c>
      <c r="E4" t="s">
        <v>2566</v>
      </c>
      <c r="F4" t="s">
        <v>2561</v>
      </c>
      <c r="I4" s="17"/>
      <c r="J4" s="17" t="str">
        <f>B4</f>
        <v>Female</v>
      </c>
      <c r="K4" s="17" t="str">
        <f t="shared" ref="K4:M4" si="0">C4</f>
        <v>Male</v>
      </c>
      <c r="L4" s="17" t="str">
        <f t="shared" si="0"/>
        <v>Other</v>
      </c>
      <c r="M4" s="17" t="str">
        <f t="shared" si="0"/>
        <v>Unknown</v>
      </c>
    </row>
    <row r="5" spans="1:13" ht="22" customHeight="1">
      <c r="A5" s="14" t="s">
        <v>18</v>
      </c>
      <c r="B5" s="16">
        <v>0.18961825201634841</v>
      </c>
      <c r="C5" s="16">
        <v>0.12262322351336576</v>
      </c>
      <c r="D5" s="16">
        <v>1.060537752469185E-2</v>
      </c>
      <c r="E5" s="16">
        <v>3.0599220547662797E-2</v>
      </c>
      <c r="F5" s="16">
        <v>0.35344607360206881</v>
      </c>
      <c r="I5" s="17" t="str">
        <f>A5</f>
        <v>App</v>
      </c>
      <c r="J5" s="18">
        <f>B5</f>
        <v>0.18961825201634841</v>
      </c>
      <c r="K5" s="18">
        <f>C5</f>
        <v>0.12262322351336576</v>
      </c>
      <c r="L5" s="18">
        <f>D5</f>
        <v>1.060537752469185E-2</v>
      </c>
      <c r="M5" s="18">
        <f>E5</f>
        <v>3.0599220547662797E-2</v>
      </c>
    </row>
    <row r="6" spans="1:13" ht="22.5" customHeight="1">
      <c r="A6" s="14" t="s">
        <v>51</v>
      </c>
      <c r="B6" s="16">
        <v>5.0283982091147303E-2</v>
      </c>
      <c r="C6" s="16">
        <v>4.3060781812819873E-2</v>
      </c>
      <c r="D6" s="16">
        <v>1.5320025675641944E-3</v>
      </c>
      <c r="E6" s="16">
        <v>1.7794988689097006E-2</v>
      </c>
      <c r="F6" s="16">
        <v>0.11267175516062837</v>
      </c>
      <c r="I6" s="17" t="str">
        <f t="shared" ref="I6:I9" si="1">A6</f>
        <v>Instagram</v>
      </c>
      <c r="J6" s="18">
        <f t="shared" ref="J6:J9" si="2">B6</f>
        <v>5.0283982091147303E-2</v>
      </c>
      <c r="K6" s="18">
        <f t="shared" ref="K6:K9" si="3">C6</f>
        <v>4.3060781812819873E-2</v>
      </c>
      <c r="L6" s="18">
        <f t="shared" ref="L6:L9" si="4">D6</f>
        <v>1.5320025675641944E-3</v>
      </c>
      <c r="M6" s="18">
        <f t="shared" ref="M6:M9" si="5">E6</f>
        <v>1.7794988689097006E-2</v>
      </c>
    </row>
    <row r="7" spans="1:13" ht="21.5" customHeight="1">
      <c r="A7" s="14" t="s">
        <v>70</v>
      </c>
      <c r="B7" s="16">
        <v>6.3496059750411282E-2</v>
      </c>
      <c r="C7" s="16">
        <v>4.6071629863988765E-2</v>
      </c>
      <c r="D7" s="16">
        <v>2.306247051322625E-3</v>
      </c>
      <c r="E7" s="16">
        <v>3.8927934093844286E-3</v>
      </c>
      <c r="F7" s="16">
        <v>0.11576673007510711</v>
      </c>
      <c r="I7" s="17" t="str">
        <f t="shared" si="1"/>
        <v>Partner App</v>
      </c>
      <c r="J7" s="18">
        <f t="shared" si="2"/>
        <v>6.3496059750411282E-2</v>
      </c>
      <c r="K7" s="18">
        <f t="shared" si="3"/>
        <v>4.6071629863988765E-2</v>
      </c>
      <c r="L7" s="18">
        <f t="shared" si="4"/>
        <v>2.306247051322625E-3</v>
      </c>
      <c r="M7" s="18">
        <f t="shared" si="5"/>
        <v>3.8927934093844286E-3</v>
      </c>
    </row>
    <row r="8" spans="1:13" ht="22" customHeight="1">
      <c r="A8" s="14" t="s">
        <v>40</v>
      </c>
      <c r="B8" s="16">
        <v>9.6337892927149532E-2</v>
      </c>
      <c r="C8" s="16">
        <v>6.7920115842382611E-2</v>
      </c>
      <c r="D8" s="16">
        <v>5.4979832664581261E-3</v>
      </c>
      <c r="E8" s="16">
        <v>1.2933041488102518E-2</v>
      </c>
      <c r="F8" s="16">
        <v>0.1826890335240928</v>
      </c>
      <c r="I8" s="17" t="str">
        <f t="shared" si="1"/>
        <v>Target.com</v>
      </c>
      <c r="J8" s="18">
        <f t="shared" si="2"/>
        <v>9.6337892927149532E-2</v>
      </c>
      <c r="K8" s="18">
        <f t="shared" si="3"/>
        <v>6.7920115842382611E-2</v>
      </c>
      <c r="L8" s="18">
        <f t="shared" si="4"/>
        <v>5.4979832664581261E-3</v>
      </c>
      <c r="M8" s="18">
        <f t="shared" si="5"/>
        <v>1.2933041488102518E-2</v>
      </c>
    </row>
    <row r="9" spans="1:13" ht="21.5" customHeight="1">
      <c r="A9" s="14" t="s">
        <v>35</v>
      </c>
      <c r="B9" s="16">
        <v>0.12522098709469262</v>
      </c>
      <c r="C9" s="16">
        <v>9.1492740283116228E-2</v>
      </c>
      <c r="D9" s="16">
        <v>6.3042760790965081E-3</v>
      </c>
      <c r="E9" s="16">
        <v>1.2408404181197551E-2</v>
      </c>
      <c r="F9" s="16">
        <v>0.23542640763810288</v>
      </c>
      <c r="I9" s="17" t="str">
        <f t="shared" si="1"/>
        <v>Website</v>
      </c>
      <c r="J9" s="18">
        <f t="shared" si="2"/>
        <v>0.12522098709469262</v>
      </c>
      <c r="K9" s="18">
        <f t="shared" si="3"/>
        <v>9.1492740283116228E-2</v>
      </c>
      <c r="L9" s="18">
        <f t="shared" si="4"/>
        <v>6.3042760790965081E-3</v>
      </c>
      <c r="M9" s="18">
        <f t="shared" si="5"/>
        <v>1.2408404181197551E-2</v>
      </c>
    </row>
    <row r="10" spans="1:13">
      <c r="A10" s="14" t="s">
        <v>2561</v>
      </c>
      <c r="B10" s="16">
        <v>0.52495717387974916</v>
      </c>
      <c r="C10" s="16">
        <v>0.3711684913156732</v>
      </c>
      <c r="D10" s="16">
        <v>2.6245886489133303E-2</v>
      </c>
      <c r="E10" s="16">
        <v>7.7628448315444312E-2</v>
      </c>
      <c r="F10" s="16">
        <v>1</v>
      </c>
    </row>
  </sheetData>
  <conditionalFormatting sqref="I5:M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8AE7B-8F01-4D68-A936-09BFC357B284}">
  <dimension ref="A3:B11"/>
  <sheetViews>
    <sheetView workbookViewId="0">
      <selection activeCell="A4" sqref="A4"/>
    </sheetView>
  </sheetViews>
  <sheetFormatPr defaultRowHeight="14"/>
  <cols>
    <col min="1" max="1" width="12.9140625" bestFit="1" customWidth="1"/>
    <col min="2" max="2" width="13.4140625" bestFit="1" customWidth="1"/>
  </cols>
  <sheetData>
    <row r="3" spans="1:2">
      <c r="A3" s="13" t="s">
        <v>2560</v>
      </c>
      <c r="B3" t="s">
        <v>2552</v>
      </c>
    </row>
    <row r="4" spans="1:2">
      <c r="A4" s="14">
        <v>1</v>
      </c>
      <c r="B4" s="12">
        <v>397</v>
      </c>
    </row>
    <row r="5" spans="1:2">
      <c r="A5" s="14">
        <v>2</v>
      </c>
      <c r="B5" s="12">
        <v>540</v>
      </c>
    </row>
    <row r="6" spans="1:2">
      <c r="A6" s="14">
        <v>3</v>
      </c>
      <c r="B6" s="12">
        <v>375</v>
      </c>
    </row>
    <row r="7" spans="1:2">
      <c r="A7" s="14">
        <v>4</v>
      </c>
      <c r="B7" s="12">
        <v>246</v>
      </c>
    </row>
    <row r="8" spans="1:2">
      <c r="A8" s="14">
        <v>5</v>
      </c>
      <c r="B8" s="12">
        <v>195</v>
      </c>
    </row>
    <row r="9" spans="1:2">
      <c r="A9" s="14" t="s">
        <v>2568</v>
      </c>
      <c r="B9" s="12">
        <v>414</v>
      </c>
    </row>
    <row r="10" spans="1:2">
      <c r="A10" s="14" t="s">
        <v>2569</v>
      </c>
      <c r="B10" s="12">
        <v>233</v>
      </c>
    </row>
    <row r="11" spans="1:2">
      <c r="A11" s="14" t="s">
        <v>2561</v>
      </c>
      <c r="B11" s="12">
        <v>2400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017F0-D5DA-4191-AEAF-A18B492846ED}">
  <dimension ref="A3:J25"/>
  <sheetViews>
    <sheetView topLeftCell="I2" workbookViewId="0">
      <selection activeCell="J3" sqref="J3"/>
    </sheetView>
  </sheetViews>
  <sheetFormatPr defaultRowHeight="14"/>
  <cols>
    <col min="1" max="1" width="19.25" bestFit="1" customWidth="1"/>
    <col min="2" max="2" width="15.58203125" bestFit="1" customWidth="1"/>
    <col min="3" max="3" width="4.75" bestFit="1" customWidth="1"/>
    <col min="4" max="4" width="5.5" bestFit="1" customWidth="1"/>
    <col min="5" max="5" width="9" bestFit="1" customWidth="1"/>
    <col min="6" max="6" width="10.83203125" bestFit="1" customWidth="1"/>
    <col min="7" max="8" width="15.58203125" bestFit="1" customWidth="1"/>
    <col min="9" max="9" width="12.9140625" bestFit="1" customWidth="1"/>
    <col min="10" max="10" width="14.5" bestFit="1" customWidth="1"/>
    <col min="11" max="11" width="4.75" bestFit="1" customWidth="1"/>
    <col min="12" max="12" width="5.5" bestFit="1" customWidth="1"/>
    <col min="13" max="13" width="9" bestFit="1" customWidth="1"/>
    <col min="14" max="14" width="10.83203125" bestFit="1" customWidth="1"/>
    <col min="15" max="48" width="15.58203125" bestFit="1" customWidth="1"/>
    <col min="49" max="49" width="10.83203125" bestFit="1" customWidth="1"/>
  </cols>
  <sheetData>
    <row r="3" spans="1:10">
      <c r="A3" s="13" t="s">
        <v>2553</v>
      </c>
      <c r="B3" s="13" t="s">
        <v>2562</v>
      </c>
      <c r="I3" s="13" t="s">
        <v>2560</v>
      </c>
      <c r="J3" t="s">
        <v>2553</v>
      </c>
    </row>
    <row r="4" spans="1:10">
      <c r="A4" s="13" t="s">
        <v>2560</v>
      </c>
      <c r="B4" t="s">
        <v>2563</v>
      </c>
      <c r="C4" t="s">
        <v>2564</v>
      </c>
      <c r="D4" t="s">
        <v>2565</v>
      </c>
      <c r="E4" t="s">
        <v>2566</v>
      </c>
      <c r="F4" t="s">
        <v>2561</v>
      </c>
      <c r="I4" s="14" t="s">
        <v>2563</v>
      </c>
      <c r="J4" s="12">
        <v>6272</v>
      </c>
    </row>
    <row r="5" spans="1:10">
      <c r="A5" s="14" t="s">
        <v>44</v>
      </c>
      <c r="B5" s="12">
        <v>744</v>
      </c>
      <c r="C5" s="12">
        <v>713</v>
      </c>
      <c r="D5" s="12">
        <v>90</v>
      </c>
      <c r="E5" s="12">
        <v>98</v>
      </c>
      <c r="F5" s="12">
        <v>1645</v>
      </c>
      <c r="I5" s="14" t="s">
        <v>2564</v>
      </c>
      <c r="J5" s="12">
        <v>4672</v>
      </c>
    </row>
    <row r="6" spans="1:10">
      <c r="A6" s="14" t="s">
        <v>39</v>
      </c>
      <c r="B6" s="12">
        <v>716</v>
      </c>
      <c r="C6" s="12">
        <v>598</v>
      </c>
      <c r="D6" s="12">
        <v>18</v>
      </c>
      <c r="E6" s="12">
        <v>214</v>
      </c>
      <c r="F6" s="12">
        <v>1546</v>
      </c>
      <c r="I6" s="14" t="s">
        <v>2565</v>
      </c>
      <c r="J6" s="12">
        <v>317</v>
      </c>
    </row>
    <row r="7" spans="1:10">
      <c r="A7" s="14" t="s">
        <v>26</v>
      </c>
      <c r="B7" s="12">
        <v>627</v>
      </c>
      <c r="C7" s="12">
        <v>393</v>
      </c>
      <c r="D7" s="12">
        <v>29</v>
      </c>
      <c r="E7" s="12">
        <v>137</v>
      </c>
      <c r="F7" s="12">
        <v>1186</v>
      </c>
      <c r="I7" s="14" t="s">
        <v>2566</v>
      </c>
      <c r="J7" s="12">
        <v>736</v>
      </c>
    </row>
    <row r="8" spans="1:10">
      <c r="A8" s="14" t="s">
        <v>22</v>
      </c>
      <c r="B8" s="12">
        <v>568</v>
      </c>
      <c r="C8" s="12">
        <v>306</v>
      </c>
      <c r="D8" s="12">
        <v>22</v>
      </c>
      <c r="E8" s="12">
        <v>16</v>
      </c>
      <c r="F8" s="12">
        <v>912</v>
      </c>
      <c r="I8" s="14" t="s">
        <v>2561</v>
      </c>
      <c r="J8" s="12">
        <v>11997</v>
      </c>
    </row>
    <row r="9" spans="1:10">
      <c r="A9" s="14" t="s">
        <v>54</v>
      </c>
      <c r="B9" s="12">
        <v>482</v>
      </c>
      <c r="C9" s="12">
        <v>295</v>
      </c>
      <c r="D9" s="12">
        <v>8</v>
      </c>
      <c r="E9" s="12">
        <v>22</v>
      </c>
      <c r="F9" s="12">
        <v>807</v>
      </c>
    </row>
    <row r="10" spans="1:10">
      <c r="A10" s="14" t="s">
        <v>16</v>
      </c>
      <c r="B10" s="12">
        <v>428</v>
      </c>
      <c r="C10" s="12">
        <v>293</v>
      </c>
      <c r="D10" s="12"/>
      <c r="E10" s="12">
        <v>24</v>
      </c>
      <c r="F10" s="12">
        <v>745</v>
      </c>
    </row>
    <row r="11" spans="1:10">
      <c r="A11" s="14" t="s">
        <v>46</v>
      </c>
      <c r="B11" s="12">
        <v>445</v>
      </c>
      <c r="C11" s="12">
        <v>202</v>
      </c>
      <c r="D11" s="12">
        <v>14</v>
      </c>
      <c r="E11" s="12">
        <v>39</v>
      </c>
      <c r="F11" s="12">
        <v>700</v>
      </c>
    </row>
    <row r="12" spans="1:10">
      <c r="A12" s="14" t="s">
        <v>32</v>
      </c>
      <c r="B12" s="12">
        <v>431</v>
      </c>
      <c r="C12" s="12">
        <v>187</v>
      </c>
      <c r="D12" s="12">
        <v>14</v>
      </c>
      <c r="E12" s="12">
        <v>15</v>
      </c>
      <c r="F12" s="12">
        <v>647</v>
      </c>
    </row>
    <row r="13" spans="1:10">
      <c r="A13" s="14" t="s">
        <v>42</v>
      </c>
      <c r="B13" s="12">
        <v>264</v>
      </c>
      <c r="C13" s="12">
        <v>318</v>
      </c>
      <c r="D13" s="12">
        <v>15</v>
      </c>
      <c r="E13" s="12">
        <v>9</v>
      </c>
      <c r="F13" s="12">
        <v>606</v>
      </c>
    </row>
    <row r="14" spans="1:10">
      <c r="A14" s="14" t="s">
        <v>37</v>
      </c>
      <c r="B14" s="12">
        <v>296</v>
      </c>
      <c r="C14" s="12">
        <v>275</v>
      </c>
      <c r="D14" s="12">
        <v>9</v>
      </c>
      <c r="E14" s="12">
        <v>23</v>
      </c>
      <c r="F14" s="12">
        <v>603</v>
      </c>
    </row>
    <row r="15" spans="1:10">
      <c r="A15" s="14" t="s">
        <v>123</v>
      </c>
      <c r="B15" s="12">
        <v>153</v>
      </c>
      <c r="C15" s="12">
        <v>246</v>
      </c>
      <c r="D15" s="12">
        <v>30</v>
      </c>
      <c r="E15" s="12">
        <v>8</v>
      </c>
      <c r="F15" s="12">
        <v>437</v>
      </c>
    </row>
    <row r="16" spans="1:10">
      <c r="A16" s="14" t="s">
        <v>146</v>
      </c>
      <c r="B16" s="12">
        <v>189</v>
      </c>
      <c r="C16" s="12">
        <v>168</v>
      </c>
      <c r="D16" s="12">
        <v>10</v>
      </c>
      <c r="E16" s="12">
        <v>31</v>
      </c>
      <c r="F16" s="12">
        <v>398</v>
      </c>
    </row>
    <row r="17" spans="1:6">
      <c r="A17" s="14" t="s">
        <v>69</v>
      </c>
      <c r="B17" s="12">
        <v>234</v>
      </c>
      <c r="C17" s="12">
        <v>93</v>
      </c>
      <c r="D17" s="12">
        <v>19</v>
      </c>
      <c r="E17" s="12">
        <v>24</v>
      </c>
      <c r="F17" s="12">
        <v>370</v>
      </c>
    </row>
    <row r="18" spans="1:6">
      <c r="A18" s="14" t="s">
        <v>30</v>
      </c>
      <c r="B18" s="12">
        <v>146</v>
      </c>
      <c r="C18" s="12">
        <v>94</v>
      </c>
      <c r="D18" s="12">
        <v>4</v>
      </c>
      <c r="E18" s="12">
        <v>28</v>
      </c>
      <c r="F18" s="12">
        <v>272</v>
      </c>
    </row>
    <row r="19" spans="1:6">
      <c r="A19" s="14" t="s">
        <v>135</v>
      </c>
      <c r="B19" s="12">
        <v>127</v>
      </c>
      <c r="C19" s="12">
        <v>118</v>
      </c>
      <c r="D19" s="12">
        <v>13</v>
      </c>
      <c r="E19" s="12">
        <v>12</v>
      </c>
      <c r="F19" s="12">
        <v>270</v>
      </c>
    </row>
    <row r="20" spans="1:6">
      <c r="A20" s="14" t="s">
        <v>67</v>
      </c>
      <c r="B20" s="12">
        <v>179</v>
      </c>
      <c r="C20" s="12">
        <v>76</v>
      </c>
      <c r="D20" s="12">
        <v>3</v>
      </c>
      <c r="E20" s="12"/>
      <c r="F20" s="12">
        <v>258</v>
      </c>
    </row>
    <row r="21" spans="1:6">
      <c r="A21" s="14" t="s">
        <v>128</v>
      </c>
      <c r="B21" s="12">
        <v>99</v>
      </c>
      <c r="C21" s="12">
        <v>69</v>
      </c>
      <c r="D21" s="12">
        <v>3</v>
      </c>
      <c r="E21" s="12">
        <v>24</v>
      </c>
      <c r="F21" s="12">
        <v>195</v>
      </c>
    </row>
    <row r="22" spans="1:6">
      <c r="A22" s="14" t="s">
        <v>76</v>
      </c>
      <c r="B22" s="12">
        <v>75</v>
      </c>
      <c r="C22" s="12">
        <v>103</v>
      </c>
      <c r="D22" s="12">
        <v>4</v>
      </c>
      <c r="E22" s="12">
        <v>6</v>
      </c>
      <c r="F22" s="12">
        <v>188</v>
      </c>
    </row>
    <row r="23" spans="1:6">
      <c r="A23" s="14" t="s">
        <v>81</v>
      </c>
      <c r="B23" s="12">
        <v>43</v>
      </c>
      <c r="C23" s="12">
        <v>90</v>
      </c>
      <c r="D23" s="12">
        <v>8</v>
      </c>
      <c r="E23" s="12">
        <v>6</v>
      </c>
      <c r="F23" s="12">
        <v>147</v>
      </c>
    </row>
    <row r="24" spans="1:6">
      <c r="A24" s="14" t="s">
        <v>171</v>
      </c>
      <c r="B24" s="12">
        <v>26</v>
      </c>
      <c r="C24" s="12">
        <v>35</v>
      </c>
      <c r="D24" s="12">
        <v>4</v>
      </c>
      <c r="E24" s="12"/>
      <c r="F24" s="12">
        <v>65</v>
      </c>
    </row>
    <row r="25" spans="1:6">
      <c r="A25" s="14" t="s">
        <v>2561</v>
      </c>
      <c r="B25" s="12">
        <v>6272</v>
      </c>
      <c r="C25" s="12">
        <v>4672</v>
      </c>
      <c r="D25" s="12">
        <v>317</v>
      </c>
      <c r="E25" s="12">
        <v>736</v>
      </c>
      <c r="F25" s="12">
        <v>11997</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370D-79A6-4D85-8C69-6A0FE8045E0A}">
  <dimension ref="A5:O65"/>
  <sheetViews>
    <sheetView workbookViewId="0">
      <selection activeCell="A10" sqref="A10"/>
    </sheetView>
  </sheetViews>
  <sheetFormatPr defaultRowHeight="14"/>
  <cols>
    <col min="1" max="1" width="24.1640625" bestFit="1" customWidth="1"/>
    <col min="2" max="2" width="20.33203125" bestFit="1" customWidth="1"/>
    <col min="3" max="3" width="14.5" bestFit="1" customWidth="1"/>
    <col min="4" max="4" width="14.08203125" bestFit="1" customWidth="1"/>
    <col min="5" max="5" width="19" bestFit="1" customWidth="1"/>
    <col min="9" max="9" width="13.08203125" bestFit="1" customWidth="1"/>
    <col min="10" max="10" width="20.33203125" bestFit="1" customWidth="1"/>
    <col min="11" max="11" width="13.75" bestFit="1" customWidth="1"/>
    <col min="12" max="12" width="16.1640625" customWidth="1"/>
    <col min="14" max="14" width="18.6640625" customWidth="1"/>
  </cols>
  <sheetData>
    <row r="5" spans="1:15">
      <c r="A5" s="13" t="s">
        <v>10</v>
      </c>
      <c r="B5" s="13" t="s">
        <v>11</v>
      </c>
      <c r="C5" t="s">
        <v>2553</v>
      </c>
      <c r="D5" t="s">
        <v>2554</v>
      </c>
    </row>
    <row r="6" spans="1:15">
      <c r="A6" t="s">
        <v>19</v>
      </c>
      <c r="B6" t="s">
        <v>115</v>
      </c>
      <c r="C6" s="12">
        <v>579</v>
      </c>
      <c r="D6" s="12">
        <v>31884.999999999996</v>
      </c>
      <c r="I6" t="s">
        <v>2571</v>
      </c>
      <c r="M6" t="s">
        <v>2572</v>
      </c>
    </row>
    <row r="7" spans="1:15">
      <c r="A7" t="s">
        <v>19</v>
      </c>
      <c r="B7" t="s">
        <v>20</v>
      </c>
      <c r="C7" s="12">
        <v>1</v>
      </c>
      <c r="D7" s="12">
        <v>10.9</v>
      </c>
      <c r="I7" t="s">
        <v>10</v>
      </c>
      <c r="J7" t="s">
        <v>11</v>
      </c>
      <c r="K7" t="s">
        <v>2</v>
      </c>
      <c r="M7" t="s">
        <v>10</v>
      </c>
      <c r="N7" t="s">
        <v>11</v>
      </c>
      <c r="O7" t="s">
        <v>4</v>
      </c>
    </row>
    <row r="8" spans="1:15">
      <c r="A8" t="s">
        <v>19</v>
      </c>
      <c r="B8" t="s">
        <v>641</v>
      </c>
      <c r="C8" s="12">
        <v>9</v>
      </c>
      <c r="D8" s="12">
        <v>800.3</v>
      </c>
      <c r="I8" t="s">
        <v>19</v>
      </c>
      <c r="J8" t="s">
        <v>115</v>
      </c>
      <c r="K8">
        <v>579</v>
      </c>
      <c r="M8" t="s">
        <v>19</v>
      </c>
      <c r="N8" t="s">
        <v>115</v>
      </c>
      <c r="O8">
        <v>31884.999999999996</v>
      </c>
    </row>
    <row r="9" spans="1:15">
      <c r="A9" t="s">
        <v>19</v>
      </c>
      <c r="B9" t="s">
        <v>967</v>
      </c>
      <c r="C9" s="12">
        <v>35</v>
      </c>
      <c r="D9" s="12">
        <v>1062.5999999999999</v>
      </c>
      <c r="I9" t="s">
        <v>19</v>
      </c>
      <c r="J9" t="s">
        <v>20</v>
      </c>
      <c r="K9">
        <v>1</v>
      </c>
      <c r="M9" t="s">
        <v>19</v>
      </c>
      <c r="N9" t="s">
        <v>20</v>
      </c>
      <c r="O9">
        <v>10.9</v>
      </c>
    </row>
    <row r="10" spans="1:15">
      <c r="A10" t="s">
        <v>19</v>
      </c>
      <c r="B10" t="s">
        <v>84</v>
      </c>
      <c r="C10" s="12">
        <v>12</v>
      </c>
      <c r="D10" s="12">
        <v>326.20000000000005</v>
      </c>
      <c r="I10" t="s">
        <v>19</v>
      </c>
      <c r="J10" t="s">
        <v>641</v>
      </c>
      <c r="K10">
        <v>9</v>
      </c>
      <c r="M10" t="s">
        <v>19</v>
      </c>
      <c r="N10" t="s">
        <v>641</v>
      </c>
      <c r="O10">
        <v>800.3</v>
      </c>
    </row>
    <row r="11" spans="1:15">
      <c r="A11" t="s">
        <v>19</v>
      </c>
      <c r="B11" t="s">
        <v>1383</v>
      </c>
      <c r="C11" s="12">
        <v>4</v>
      </c>
      <c r="D11" s="12">
        <v>167.5</v>
      </c>
      <c r="I11" t="s">
        <v>19</v>
      </c>
      <c r="J11" t="s">
        <v>967</v>
      </c>
      <c r="K11">
        <v>35</v>
      </c>
      <c r="M11" t="s">
        <v>19</v>
      </c>
      <c r="N11" t="s">
        <v>967</v>
      </c>
      <c r="O11">
        <v>1062.5999999999999</v>
      </c>
    </row>
    <row r="12" spans="1:15">
      <c r="A12" t="s">
        <v>19</v>
      </c>
      <c r="B12" t="s">
        <v>24</v>
      </c>
      <c r="C12" s="12">
        <v>341</v>
      </c>
      <c r="D12" s="12">
        <v>16168.7</v>
      </c>
      <c r="I12" t="s">
        <v>19</v>
      </c>
      <c r="J12" t="s">
        <v>84</v>
      </c>
      <c r="K12">
        <v>12</v>
      </c>
      <c r="M12" t="s">
        <v>19</v>
      </c>
      <c r="N12" t="s">
        <v>84</v>
      </c>
      <c r="O12">
        <v>326.20000000000005</v>
      </c>
    </row>
    <row r="13" spans="1:15">
      <c r="A13" t="s">
        <v>19</v>
      </c>
      <c r="B13" t="s">
        <v>2204</v>
      </c>
      <c r="C13" s="12">
        <v>13</v>
      </c>
      <c r="D13" s="12">
        <v>322.40000000000003</v>
      </c>
      <c r="I13" t="s">
        <v>19</v>
      </c>
      <c r="J13" t="s">
        <v>1383</v>
      </c>
      <c r="K13">
        <v>4</v>
      </c>
      <c r="M13" t="s">
        <v>19</v>
      </c>
      <c r="N13" t="s">
        <v>1383</v>
      </c>
      <c r="O13">
        <v>167.5</v>
      </c>
    </row>
    <row r="14" spans="1:15">
      <c r="A14" t="s">
        <v>19</v>
      </c>
      <c r="B14" t="s">
        <v>437</v>
      </c>
      <c r="C14" s="12">
        <v>31</v>
      </c>
      <c r="D14" s="12">
        <v>2092.8000000000002</v>
      </c>
      <c r="I14" t="s">
        <v>19</v>
      </c>
      <c r="J14" t="s">
        <v>24</v>
      </c>
      <c r="K14">
        <v>341</v>
      </c>
      <c r="M14" t="s">
        <v>19</v>
      </c>
      <c r="N14" t="s">
        <v>24</v>
      </c>
      <c r="O14">
        <v>16168.7</v>
      </c>
    </row>
    <row r="15" spans="1:15">
      <c r="A15" t="s">
        <v>19</v>
      </c>
      <c r="B15" t="s">
        <v>28</v>
      </c>
      <c r="C15" s="12">
        <v>279</v>
      </c>
      <c r="D15" s="12">
        <v>12662.500000000002</v>
      </c>
      <c r="I15" t="s">
        <v>19</v>
      </c>
      <c r="J15" t="s">
        <v>2204</v>
      </c>
      <c r="K15">
        <v>13</v>
      </c>
      <c r="M15" t="s">
        <v>19</v>
      </c>
      <c r="N15" t="s">
        <v>2204</v>
      </c>
      <c r="O15">
        <v>322.40000000000003</v>
      </c>
    </row>
    <row r="16" spans="1:15">
      <c r="A16" t="s">
        <v>19</v>
      </c>
      <c r="B16" t="s">
        <v>208</v>
      </c>
      <c r="C16" s="12">
        <v>9</v>
      </c>
      <c r="D16" s="12">
        <v>343.2</v>
      </c>
      <c r="I16" t="s">
        <v>19</v>
      </c>
      <c r="J16" t="s">
        <v>437</v>
      </c>
      <c r="K16">
        <v>31</v>
      </c>
      <c r="M16" t="s">
        <v>19</v>
      </c>
      <c r="N16" t="s">
        <v>437</v>
      </c>
      <c r="O16">
        <v>2092.8000000000002</v>
      </c>
    </row>
    <row r="17" spans="1:15">
      <c r="A17" t="s">
        <v>19</v>
      </c>
      <c r="B17" t="s">
        <v>587</v>
      </c>
      <c r="C17" s="12">
        <v>49</v>
      </c>
      <c r="D17" s="12">
        <v>2188.2999999999997</v>
      </c>
      <c r="I17" t="s">
        <v>19</v>
      </c>
      <c r="J17" t="s">
        <v>28</v>
      </c>
      <c r="K17">
        <v>279</v>
      </c>
      <c r="M17" t="s">
        <v>19</v>
      </c>
      <c r="N17" t="s">
        <v>28</v>
      </c>
      <c r="O17">
        <v>12662.500000000002</v>
      </c>
    </row>
    <row r="18" spans="1:15">
      <c r="A18" t="s">
        <v>19</v>
      </c>
      <c r="B18" t="s">
        <v>331</v>
      </c>
      <c r="C18" s="12">
        <v>59</v>
      </c>
      <c r="D18" s="12">
        <v>2661.5999999999995</v>
      </c>
      <c r="I18" t="s">
        <v>19</v>
      </c>
      <c r="J18" t="s">
        <v>208</v>
      </c>
      <c r="K18">
        <v>9</v>
      </c>
      <c r="M18" t="s">
        <v>19</v>
      </c>
      <c r="N18" t="s">
        <v>208</v>
      </c>
      <c r="O18">
        <v>343.2</v>
      </c>
    </row>
    <row r="19" spans="1:15">
      <c r="A19" t="s">
        <v>19</v>
      </c>
      <c r="B19" t="s">
        <v>86</v>
      </c>
      <c r="C19" s="12">
        <v>8</v>
      </c>
      <c r="D19" s="12">
        <v>887.5</v>
      </c>
      <c r="I19" t="s">
        <v>19</v>
      </c>
      <c r="J19" t="s">
        <v>587</v>
      </c>
      <c r="K19">
        <v>49</v>
      </c>
      <c r="M19" t="s">
        <v>19</v>
      </c>
      <c r="N19" t="s">
        <v>587</v>
      </c>
      <c r="O19">
        <v>2188.2999999999997</v>
      </c>
    </row>
    <row r="20" spans="1:15">
      <c r="A20" t="s">
        <v>19</v>
      </c>
      <c r="B20" t="s">
        <v>147</v>
      </c>
      <c r="C20" s="12">
        <v>222</v>
      </c>
      <c r="D20" s="12">
        <v>11354.199999999993</v>
      </c>
      <c r="I20" t="s">
        <v>19</v>
      </c>
      <c r="J20" t="s">
        <v>331</v>
      </c>
      <c r="K20">
        <v>59</v>
      </c>
      <c r="M20" t="s">
        <v>19</v>
      </c>
      <c r="N20" t="s">
        <v>331</v>
      </c>
      <c r="O20">
        <v>2661.5999999999995</v>
      </c>
    </row>
    <row r="21" spans="1:15">
      <c r="A21" t="s">
        <v>19</v>
      </c>
      <c r="B21" t="s">
        <v>334</v>
      </c>
      <c r="C21" s="12">
        <v>36</v>
      </c>
      <c r="D21" s="12">
        <v>1558.4</v>
      </c>
      <c r="I21" t="s">
        <v>19</v>
      </c>
      <c r="J21" t="s">
        <v>86</v>
      </c>
      <c r="K21">
        <v>8</v>
      </c>
      <c r="M21" t="s">
        <v>19</v>
      </c>
      <c r="N21" t="s">
        <v>86</v>
      </c>
      <c r="O21">
        <v>887.5</v>
      </c>
    </row>
    <row r="22" spans="1:15">
      <c r="A22" t="s">
        <v>19</v>
      </c>
      <c r="B22" t="s">
        <v>949</v>
      </c>
      <c r="C22" s="12">
        <v>30</v>
      </c>
      <c r="D22" s="12">
        <v>2223.9</v>
      </c>
      <c r="I22" t="s">
        <v>19</v>
      </c>
      <c r="J22" t="s">
        <v>147</v>
      </c>
      <c r="K22">
        <v>222</v>
      </c>
      <c r="M22" t="s">
        <v>19</v>
      </c>
      <c r="N22" t="s">
        <v>147</v>
      </c>
      <c r="O22">
        <v>11354.199999999993</v>
      </c>
    </row>
    <row r="23" spans="1:15">
      <c r="A23" t="s">
        <v>19</v>
      </c>
      <c r="B23" t="s">
        <v>1426</v>
      </c>
      <c r="C23" s="12">
        <v>1</v>
      </c>
      <c r="D23" s="12">
        <v>26.2</v>
      </c>
      <c r="I23" t="s">
        <v>19</v>
      </c>
      <c r="J23" t="s">
        <v>334</v>
      </c>
      <c r="K23">
        <v>36</v>
      </c>
      <c r="M23" t="s">
        <v>19</v>
      </c>
      <c r="N23" t="s">
        <v>334</v>
      </c>
      <c r="O23">
        <v>1558.4</v>
      </c>
    </row>
    <row r="24" spans="1:15">
      <c r="A24" t="s">
        <v>19</v>
      </c>
      <c r="B24" t="s">
        <v>33</v>
      </c>
      <c r="C24" s="12">
        <v>3991</v>
      </c>
      <c r="D24" s="12">
        <v>215551.19999999981</v>
      </c>
      <c r="I24" t="s">
        <v>19</v>
      </c>
      <c r="J24" t="s">
        <v>949</v>
      </c>
      <c r="K24">
        <v>30</v>
      </c>
      <c r="M24" t="s">
        <v>19</v>
      </c>
      <c r="N24" t="s">
        <v>949</v>
      </c>
      <c r="O24">
        <v>2223.9</v>
      </c>
    </row>
    <row r="25" spans="1:15">
      <c r="A25" t="s">
        <v>19</v>
      </c>
      <c r="B25" t="s">
        <v>364</v>
      </c>
      <c r="C25" s="12">
        <v>45</v>
      </c>
      <c r="D25" s="12">
        <v>2687.3999999999996</v>
      </c>
      <c r="I25" t="s">
        <v>19</v>
      </c>
      <c r="J25" t="s">
        <v>1426</v>
      </c>
      <c r="K25">
        <v>1</v>
      </c>
      <c r="M25" t="s">
        <v>19</v>
      </c>
      <c r="N25" t="s">
        <v>1426</v>
      </c>
      <c r="O25">
        <v>26.2</v>
      </c>
    </row>
    <row r="26" spans="1:15">
      <c r="A26" t="s">
        <v>19</v>
      </c>
      <c r="B26" t="s">
        <v>545</v>
      </c>
      <c r="C26" s="12">
        <v>39</v>
      </c>
      <c r="D26" s="12">
        <v>1463.3000000000002</v>
      </c>
      <c r="I26" t="s">
        <v>19</v>
      </c>
      <c r="J26" t="s">
        <v>33</v>
      </c>
      <c r="K26">
        <v>3991</v>
      </c>
      <c r="M26" t="s">
        <v>19</v>
      </c>
      <c r="N26" t="s">
        <v>33</v>
      </c>
      <c r="O26">
        <v>215551.19999999981</v>
      </c>
    </row>
    <row r="27" spans="1:15">
      <c r="A27" t="s">
        <v>19</v>
      </c>
      <c r="B27" t="s">
        <v>416</v>
      </c>
      <c r="C27" s="12">
        <v>6</v>
      </c>
      <c r="D27" s="12">
        <v>445.79999999999995</v>
      </c>
      <c r="I27" t="s">
        <v>19</v>
      </c>
      <c r="J27" t="s">
        <v>364</v>
      </c>
      <c r="K27">
        <v>45</v>
      </c>
      <c r="M27" t="s">
        <v>19</v>
      </c>
      <c r="N27" t="s">
        <v>364</v>
      </c>
      <c r="O27">
        <v>2687.3999999999996</v>
      </c>
    </row>
    <row r="28" spans="1:15">
      <c r="A28" t="s">
        <v>19</v>
      </c>
      <c r="B28" t="s">
        <v>258</v>
      </c>
      <c r="C28" s="12">
        <v>9</v>
      </c>
      <c r="D28" s="12">
        <v>273.59999999999997</v>
      </c>
      <c r="I28" t="s">
        <v>19</v>
      </c>
      <c r="J28" t="s">
        <v>545</v>
      </c>
      <c r="K28">
        <v>39</v>
      </c>
      <c r="M28" t="s">
        <v>19</v>
      </c>
      <c r="N28" t="s">
        <v>545</v>
      </c>
      <c r="O28">
        <v>1463.3000000000002</v>
      </c>
    </row>
    <row r="29" spans="1:15">
      <c r="A29" t="s">
        <v>19</v>
      </c>
      <c r="B29" t="s">
        <v>186</v>
      </c>
      <c r="C29" s="12">
        <v>60</v>
      </c>
      <c r="D29" s="12">
        <v>2690.4</v>
      </c>
      <c r="I29" t="s">
        <v>19</v>
      </c>
      <c r="J29" t="s">
        <v>416</v>
      </c>
      <c r="K29">
        <v>6</v>
      </c>
      <c r="M29" t="s">
        <v>19</v>
      </c>
      <c r="N29" t="s">
        <v>416</v>
      </c>
      <c r="O29">
        <v>445.79999999999995</v>
      </c>
    </row>
    <row r="30" spans="1:15">
      <c r="A30" t="s">
        <v>19</v>
      </c>
      <c r="B30" t="s">
        <v>392</v>
      </c>
      <c r="C30" s="12">
        <v>2</v>
      </c>
      <c r="D30" s="12">
        <v>28.4</v>
      </c>
      <c r="I30" t="s">
        <v>19</v>
      </c>
      <c r="J30" t="s">
        <v>258</v>
      </c>
      <c r="K30">
        <v>9</v>
      </c>
      <c r="M30" t="s">
        <v>19</v>
      </c>
      <c r="N30" t="s">
        <v>258</v>
      </c>
      <c r="O30">
        <v>273.59999999999997</v>
      </c>
    </row>
    <row r="31" spans="1:15">
      <c r="A31" t="s">
        <v>19</v>
      </c>
      <c r="B31" t="s">
        <v>670</v>
      </c>
      <c r="C31" s="12">
        <v>4</v>
      </c>
      <c r="D31" s="12">
        <v>204.8</v>
      </c>
      <c r="I31" t="s">
        <v>19</v>
      </c>
      <c r="J31" t="s">
        <v>186</v>
      </c>
      <c r="K31">
        <v>60</v>
      </c>
      <c r="M31" t="s">
        <v>19</v>
      </c>
      <c r="N31" t="s">
        <v>186</v>
      </c>
      <c r="O31">
        <v>2690.4</v>
      </c>
    </row>
    <row r="32" spans="1:15">
      <c r="A32" t="s">
        <v>19</v>
      </c>
      <c r="B32" t="s">
        <v>802</v>
      </c>
      <c r="C32" s="12">
        <v>31</v>
      </c>
      <c r="D32" s="12">
        <v>1607.8999999999999</v>
      </c>
      <c r="I32" t="s">
        <v>19</v>
      </c>
      <c r="J32" t="s">
        <v>392</v>
      </c>
      <c r="K32">
        <v>2</v>
      </c>
      <c r="M32" t="s">
        <v>19</v>
      </c>
      <c r="N32" t="s">
        <v>392</v>
      </c>
      <c r="O32">
        <v>28.4</v>
      </c>
    </row>
    <row r="33" spans="1:15">
      <c r="A33" t="s">
        <v>19</v>
      </c>
      <c r="B33" t="s">
        <v>98</v>
      </c>
      <c r="C33" s="12">
        <v>88</v>
      </c>
      <c r="D33" s="12">
        <v>6444.9</v>
      </c>
      <c r="I33" t="s">
        <v>19</v>
      </c>
      <c r="J33" t="s">
        <v>670</v>
      </c>
      <c r="K33">
        <v>4</v>
      </c>
      <c r="M33" t="s">
        <v>19</v>
      </c>
      <c r="N33" t="s">
        <v>670</v>
      </c>
      <c r="O33">
        <v>204.8</v>
      </c>
    </row>
    <row r="34" spans="1:15">
      <c r="A34" t="s">
        <v>19</v>
      </c>
      <c r="B34" t="s">
        <v>49</v>
      </c>
      <c r="C34" s="12">
        <v>25</v>
      </c>
      <c r="D34" s="12">
        <v>1809.3</v>
      </c>
      <c r="I34" t="s">
        <v>19</v>
      </c>
      <c r="J34" t="s">
        <v>802</v>
      </c>
      <c r="K34">
        <v>31</v>
      </c>
      <c r="M34" t="s">
        <v>19</v>
      </c>
      <c r="N34" t="s">
        <v>802</v>
      </c>
      <c r="O34">
        <v>1607.8999999999999</v>
      </c>
    </row>
    <row r="35" spans="1:15">
      <c r="A35" t="s">
        <v>19</v>
      </c>
      <c r="B35" t="s">
        <v>188</v>
      </c>
      <c r="C35" s="12">
        <v>178</v>
      </c>
      <c r="D35" s="12">
        <v>9680.399999999996</v>
      </c>
      <c r="I35" t="s">
        <v>19</v>
      </c>
      <c r="J35" t="s">
        <v>98</v>
      </c>
      <c r="K35">
        <v>88</v>
      </c>
      <c r="M35" t="s">
        <v>19</v>
      </c>
      <c r="N35" t="s">
        <v>98</v>
      </c>
      <c r="O35">
        <v>6444.9</v>
      </c>
    </row>
    <row r="36" spans="1:15">
      <c r="A36" t="s">
        <v>19</v>
      </c>
      <c r="B36" t="s">
        <v>52</v>
      </c>
      <c r="C36" s="12">
        <v>141</v>
      </c>
      <c r="D36" s="12">
        <v>9414.7999999999993</v>
      </c>
      <c r="I36" t="s">
        <v>19</v>
      </c>
      <c r="J36" t="s">
        <v>49</v>
      </c>
      <c r="K36">
        <v>25</v>
      </c>
      <c r="M36" t="s">
        <v>19</v>
      </c>
      <c r="N36" t="s">
        <v>49</v>
      </c>
      <c r="O36">
        <v>1809.3</v>
      </c>
    </row>
    <row r="37" spans="1:15">
      <c r="A37" t="s">
        <v>19</v>
      </c>
      <c r="B37" t="s">
        <v>338</v>
      </c>
      <c r="C37" s="12">
        <v>6</v>
      </c>
      <c r="D37" s="12">
        <v>206.1</v>
      </c>
      <c r="I37" t="s">
        <v>19</v>
      </c>
      <c r="J37" t="s">
        <v>188</v>
      </c>
      <c r="K37">
        <v>178</v>
      </c>
      <c r="M37" t="s">
        <v>19</v>
      </c>
      <c r="N37" t="s">
        <v>188</v>
      </c>
      <c r="O37">
        <v>9680.399999999996</v>
      </c>
    </row>
    <row r="38" spans="1:15">
      <c r="A38" t="s">
        <v>19</v>
      </c>
      <c r="B38" t="s">
        <v>158</v>
      </c>
      <c r="C38" s="12">
        <v>178</v>
      </c>
      <c r="D38" s="12">
        <v>7691.3</v>
      </c>
      <c r="I38" t="s">
        <v>19</v>
      </c>
      <c r="J38" t="s">
        <v>52</v>
      </c>
      <c r="K38">
        <v>141</v>
      </c>
      <c r="M38" t="s">
        <v>19</v>
      </c>
      <c r="N38" t="s">
        <v>52</v>
      </c>
      <c r="O38">
        <v>9414.7999999999993</v>
      </c>
    </row>
    <row r="39" spans="1:15">
      <c r="A39" t="s">
        <v>19</v>
      </c>
      <c r="B39" t="s">
        <v>55</v>
      </c>
      <c r="C39" s="12">
        <v>699</v>
      </c>
      <c r="D39" s="12">
        <v>37784.900000000016</v>
      </c>
      <c r="I39" t="s">
        <v>19</v>
      </c>
      <c r="J39" t="s">
        <v>338</v>
      </c>
      <c r="K39">
        <v>6</v>
      </c>
      <c r="M39" t="s">
        <v>19</v>
      </c>
      <c r="N39" t="s">
        <v>338</v>
      </c>
      <c r="O39">
        <v>206.1</v>
      </c>
    </row>
    <row r="40" spans="1:15">
      <c r="A40" t="s">
        <v>19</v>
      </c>
      <c r="B40" t="s">
        <v>342</v>
      </c>
      <c r="C40" s="12">
        <v>23</v>
      </c>
      <c r="D40" s="12">
        <v>1129.7</v>
      </c>
      <c r="I40" t="s">
        <v>19</v>
      </c>
      <c r="J40" t="s">
        <v>158</v>
      </c>
      <c r="K40">
        <v>178</v>
      </c>
      <c r="M40" t="s">
        <v>19</v>
      </c>
      <c r="N40" t="s">
        <v>158</v>
      </c>
      <c r="O40">
        <v>7691.3</v>
      </c>
    </row>
    <row r="41" spans="1:15">
      <c r="A41" t="s">
        <v>19</v>
      </c>
      <c r="B41" t="s">
        <v>59</v>
      </c>
      <c r="C41" s="12">
        <v>356</v>
      </c>
      <c r="D41" s="12">
        <v>20988.9</v>
      </c>
      <c r="I41" t="s">
        <v>19</v>
      </c>
      <c r="J41" t="s">
        <v>55</v>
      </c>
      <c r="K41">
        <v>699</v>
      </c>
      <c r="M41" t="s">
        <v>19</v>
      </c>
      <c r="N41" t="s">
        <v>55</v>
      </c>
      <c r="O41">
        <v>37784.900000000016</v>
      </c>
    </row>
    <row r="42" spans="1:15">
      <c r="A42" t="s">
        <v>19</v>
      </c>
      <c r="B42" t="s">
        <v>62</v>
      </c>
      <c r="C42" s="12">
        <v>1768</v>
      </c>
      <c r="D42" s="12">
        <v>98367.099999999977</v>
      </c>
      <c r="I42" t="s">
        <v>19</v>
      </c>
      <c r="J42" t="s">
        <v>342</v>
      </c>
      <c r="K42">
        <v>23</v>
      </c>
      <c r="M42" t="s">
        <v>19</v>
      </c>
      <c r="N42" t="s">
        <v>342</v>
      </c>
      <c r="O42">
        <v>1129.7</v>
      </c>
    </row>
    <row r="43" spans="1:15">
      <c r="A43" t="s">
        <v>19</v>
      </c>
      <c r="B43" t="s">
        <v>103</v>
      </c>
      <c r="C43" s="12">
        <v>307</v>
      </c>
      <c r="D43" s="12">
        <v>21911.9</v>
      </c>
      <c r="I43" t="s">
        <v>19</v>
      </c>
      <c r="J43" t="s">
        <v>59</v>
      </c>
      <c r="K43">
        <v>356</v>
      </c>
      <c r="M43" t="s">
        <v>19</v>
      </c>
      <c r="N43" t="s">
        <v>59</v>
      </c>
      <c r="O43">
        <v>20988.9</v>
      </c>
    </row>
    <row r="44" spans="1:15">
      <c r="A44" t="s">
        <v>19</v>
      </c>
      <c r="B44" t="s">
        <v>201</v>
      </c>
      <c r="C44" s="12">
        <v>117</v>
      </c>
      <c r="D44" s="12">
        <v>5441.2</v>
      </c>
      <c r="I44" t="s">
        <v>19</v>
      </c>
      <c r="J44" t="s">
        <v>62</v>
      </c>
      <c r="K44">
        <v>1768</v>
      </c>
      <c r="M44" t="s">
        <v>19</v>
      </c>
      <c r="N44" t="s">
        <v>62</v>
      </c>
      <c r="O44">
        <v>98367.099999999977</v>
      </c>
    </row>
    <row r="45" spans="1:15">
      <c r="A45" t="s">
        <v>19</v>
      </c>
      <c r="B45" t="s">
        <v>429</v>
      </c>
      <c r="C45" s="12">
        <v>13</v>
      </c>
      <c r="D45" s="12">
        <v>392.8</v>
      </c>
      <c r="I45" t="s">
        <v>19</v>
      </c>
      <c r="J45" t="s">
        <v>103</v>
      </c>
      <c r="K45">
        <v>307</v>
      </c>
      <c r="M45" t="s">
        <v>19</v>
      </c>
      <c r="N45" t="s">
        <v>103</v>
      </c>
      <c r="O45">
        <v>21911.9</v>
      </c>
    </row>
    <row r="46" spans="1:15">
      <c r="A46" t="s">
        <v>19</v>
      </c>
      <c r="B46" t="s">
        <v>72</v>
      </c>
      <c r="C46" s="12">
        <v>364</v>
      </c>
      <c r="D46" s="12">
        <v>16172.000000000005</v>
      </c>
      <c r="I46" t="s">
        <v>19</v>
      </c>
      <c r="J46" t="s">
        <v>201</v>
      </c>
      <c r="K46">
        <v>117</v>
      </c>
      <c r="M46" t="s">
        <v>19</v>
      </c>
      <c r="N46" t="s">
        <v>201</v>
      </c>
      <c r="O46">
        <v>5441.2</v>
      </c>
    </row>
    <row r="47" spans="1:15">
      <c r="A47" t="s">
        <v>19</v>
      </c>
      <c r="B47" t="s">
        <v>74</v>
      </c>
      <c r="C47" s="12">
        <v>95</v>
      </c>
      <c r="D47" s="12">
        <v>4334.9999999999991</v>
      </c>
      <c r="I47" t="s">
        <v>19</v>
      </c>
      <c r="J47" t="s">
        <v>429</v>
      </c>
      <c r="K47">
        <v>13</v>
      </c>
      <c r="M47" t="s">
        <v>19</v>
      </c>
      <c r="N47" t="s">
        <v>429</v>
      </c>
      <c r="O47">
        <v>392.8</v>
      </c>
    </row>
    <row r="48" spans="1:15">
      <c r="A48" t="s">
        <v>19</v>
      </c>
      <c r="B48" t="s">
        <v>77</v>
      </c>
      <c r="C48" s="12">
        <v>737</v>
      </c>
      <c r="D48" s="12">
        <v>37449.000000000007</v>
      </c>
      <c r="I48" t="s">
        <v>19</v>
      </c>
      <c r="J48" t="s">
        <v>72</v>
      </c>
      <c r="K48">
        <v>364</v>
      </c>
      <c r="M48" t="s">
        <v>19</v>
      </c>
      <c r="N48" t="s">
        <v>72</v>
      </c>
      <c r="O48">
        <v>16172.000000000005</v>
      </c>
    </row>
    <row r="49" spans="1:15">
      <c r="A49" t="s">
        <v>19</v>
      </c>
      <c r="B49" t="s">
        <v>309</v>
      </c>
      <c r="C49" s="12">
        <v>39</v>
      </c>
      <c r="D49" s="12">
        <v>2447.5</v>
      </c>
      <c r="I49" t="s">
        <v>19</v>
      </c>
      <c r="J49" t="s">
        <v>74</v>
      </c>
      <c r="K49">
        <v>95</v>
      </c>
      <c r="M49" t="s">
        <v>19</v>
      </c>
      <c r="N49" t="s">
        <v>74</v>
      </c>
      <c r="O49">
        <v>4334.9999999999991</v>
      </c>
    </row>
    <row r="50" spans="1:15">
      <c r="A50" t="s">
        <v>19</v>
      </c>
      <c r="B50" t="s">
        <v>1116</v>
      </c>
      <c r="C50" s="12">
        <v>56</v>
      </c>
      <c r="D50" s="12">
        <v>3391.1</v>
      </c>
      <c r="I50" t="s">
        <v>19</v>
      </c>
      <c r="J50" t="s">
        <v>77</v>
      </c>
      <c r="K50">
        <v>737</v>
      </c>
      <c r="M50" t="s">
        <v>19</v>
      </c>
      <c r="N50" t="s">
        <v>77</v>
      </c>
      <c r="O50">
        <v>37449.000000000007</v>
      </c>
    </row>
    <row r="51" spans="1:15">
      <c r="A51" t="s">
        <v>19</v>
      </c>
      <c r="B51" t="s">
        <v>700</v>
      </c>
      <c r="C51" s="12">
        <v>2</v>
      </c>
      <c r="D51" s="12">
        <v>30.8</v>
      </c>
      <c r="I51" t="s">
        <v>19</v>
      </c>
      <c r="J51" t="s">
        <v>309</v>
      </c>
      <c r="K51">
        <v>39</v>
      </c>
      <c r="M51" t="s">
        <v>19</v>
      </c>
      <c r="N51" t="s">
        <v>309</v>
      </c>
      <c r="O51">
        <v>2447.5</v>
      </c>
    </row>
    <row r="52" spans="1:15">
      <c r="A52" t="s">
        <v>19</v>
      </c>
      <c r="B52" t="s">
        <v>268</v>
      </c>
      <c r="C52" s="12">
        <v>8</v>
      </c>
      <c r="D52" s="12">
        <v>332.3</v>
      </c>
      <c r="I52" t="s">
        <v>19</v>
      </c>
      <c r="J52" t="s">
        <v>1116</v>
      </c>
      <c r="K52">
        <v>56</v>
      </c>
      <c r="M52" t="s">
        <v>19</v>
      </c>
      <c r="N52" t="s">
        <v>1116</v>
      </c>
      <c r="O52">
        <v>3391.1</v>
      </c>
    </row>
    <row r="53" spans="1:15">
      <c r="A53" t="s">
        <v>19</v>
      </c>
      <c r="B53" t="s">
        <v>377</v>
      </c>
      <c r="C53" s="12">
        <v>52</v>
      </c>
      <c r="D53" s="12">
        <v>3175.9999999999995</v>
      </c>
      <c r="I53" t="s">
        <v>19</v>
      </c>
      <c r="J53" t="s">
        <v>700</v>
      </c>
      <c r="K53">
        <v>2</v>
      </c>
      <c r="M53" t="s">
        <v>19</v>
      </c>
      <c r="N53" t="s">
        <v>700</v>
      </c>
      <c r="O53">
        <v>30.8</v>
      </c>
    </row>
    <row r="54" spans="1:15">
      <c r="A54" t="s">
        <v>19</v>
      </c>
      <c r="B54" t="s">
        <v>108</v>
      </c>
      <c r="C54" s="12">
        <v>295</v>
      </c>
      <c r="D54" s="12">
        <v>20939.600000000002</v>
      </c>
      <c r="I54" t="s">
        <v>19</v>
      </c>
      <c r="J54" t="s">
        <v>268</v>
      </c>
      <c r="K54">
        <v>8</v>
      </c>
      <c r="M54" t="s">
        <v>19</v>
      </c>
      <c r="N54" t="s">
        <v>268</v>
      </c>
      <c r="O54">
        <v>332.3</v>
      </c>
    </row>
    <row r="55" spans="1:15">
      <c r="A55" t="s">
        <v>19</v>
      </c>
      <c r="B55" t="s">
        <v>110</v>
      </c>
      <c r="C55" s="12">
        <v>195</v>
      </c>
      <c r="D55" s="12">
        <v>10185.899999999996</v>
      </c>
      <c r="I55" t="s">
        <v>19</v>
      </c>
      <c r="J55" t="s">
        <v>377</v>
      </c>
      <c r="K55">
        <v>52</v>
      </c>
      <c r="M55" t="s">
        <v>19</v>
      </c>
      <c r="N55" t="s">
        <v>377</v>
      </c>
      <c r="O55">
        <v>3175.9999999999995</v>
      </c>
    </row>
    <row r="56" spans="1:15">
      <c r="A56" t="s">
        <v>19</v>
      </c>
      <c r="B56" t="s">
        <v>292</v>
      </c>
      <c r="C56" s="12">
        <v>20</v>
      </c>
      <c r="D56" s="12">
        <v>958.7</v>
      </c>
      <c r="I56" t="s">
        <v>19</v>
      </c>
      <c r="J56" t="s">
        <v>108</v>
      </c>
      <c r="K56">
        <v>295</v>
      </c>
      <c r="M56" t="s">
        <v>19</v>
      </c>
      <c r="N56" t="s">
        <v>108</v>
      </c>
      <c r="O56">
        <v>20939.600000000002</v>
      </c>
    </row>
    <row r="57" spans="1:15">
      <c r="A57" t="s">
        <v>19</v>
      </c>
      <c r="B57" t="s">
        <v>79</v>
      </c>
      <c r="C57" s="12">
        <v>6</v>
      </c>
      <c r="D57" s="12">
        <v>323</v>
      </c>
      <c r="I57" t="s">
        <v>19</v>
      </c>
      <c r="J57" t="s">
        <v>110</v>
      </c>
      <c r="K57">
        <v>195</v>
      </c>
      <c r="M57" t="s">
        <v>19</v>
      </c>
      <c r="N57" t="s">
        <v>110</v>
      </c>
      <c r="O57">
        <v>10185.899999999996</v>
      </c>
    </row>
    <row r="58" spans="1:15">
      <c r="A58" t="s">
        <v>19</v>
      </c>
      <c r="B58" t="s">
        <v>608</v>
      </c>
      <c r="C58" s="12">
        <v>5</v>
      </c>
      <c r="D58" s="12">
        <v>167.70000000000002</v>
      </c>
      <c r="I58" t="s">
        <v>19</v>
      </c>
      <c r="J58" t="s">
        <v>292</v>
      </c>
      <c r="K58">
        <v>20</v>
      </c>
      <c r="M58" t="s">
        <v>19</v>
      </c>
      <c r="N58" t="s">
        <v>292</v>
      </c>
      <c r="O58">
        <v>958.7</v>
      </c>
    </row>
    <row r="59" spans="1:15">
      <c r="A59" t="s">
        <v>19</v>
      </c>
      <c r="B59" t="s">
        <v>113</v>
      </c>
      <c r="C59" s="12">
        <v>94</v>
      </c>
      <c r="D59" s="12">
        <v>3978.5</v>
      </c>
      <c r="I59" t="s">
        <v>19</v>
      </c>
      <c r="J59" t="s">
        <v>79</v>
      </c>
      <c r="K59">
        <v>6</v>
      </c>
      <c r="M59" t="s">
        <v>19</v>
      </c>
      <c r="N59" t="s">
        <v>79</v>
      </c>
      <c r="O59">
        <v>323</v>
      </c>
    </row>
    <row r="60" spans="1:15">
      <c r="A60" t="s">
        <v>19</v>
      </c>
      <c r="B60" t="s">
        <v>997</v>
      </c>
      <c r="C60" s="12">
        <v>28</v>
      </c>
      <c r="D60" s="12">
        <v>1405</v>
      </c>
      <c r="I60" t="s">
        <v>19</v>
      </c>
      <c r="J60" t="s">
        <v>608</v>
      </c>
      <c r="K60">
        <v>5</v>
      </c>
      <c r="M60" t="s">
        <v>19</v>
      </c>
      <c r="N60" t="s">
        <v>608</v>
      </c>
      <c r="O60">
        <v>167.70000000000002</v>
      </c>
    </row>
    <row r="61" spans="1:15">
      <c r="A61" t="s">
        <v>19</v>
      </c>
      <c r="B61" t="s">
        <v>82</v>
      </c>
      <c r="C61" s="12">
        <v>179</v>
      </c>
      <c r="D61" s="12">
        <v>9869.0999999999985</v>
      </c>
      <c r="I61" t="s">
        <v>19</v>
      </c>
      <c r="J61" t="s">
        <v>113</v>
      </c>
      <c r="K61">
        <v>94</v>
      </c>
      <c r="M61" t="s">
        <v>19</v>
      </c>
      <c r="N61" t="s">
        <v>113</v>
      </c>
      <c r="O61">
        <v>3978.5</v>
      </c>
    </row>
    <row r="62" spans="1:15">
      <c r="A62" t="s">
        <v>19</v>
      </c>
      <c r="B62" t="s">
        <v>243</v>
      </c>
      <c r="C62" s="12">
        <v>15</v>
      </c>
      <c r="D62" s="12">
        <v>615.29999999999995</v>
      </c>
      <c r="I62" t="s">
        <v>19</v>
      </c>
      <c r="J62" t="s">
        <v>997</v>
      </c>
      <c r="K62">
        <v>28</v>
      </c>
      <c r="M62" t="s">
        <v>19</v>
      </c>
      <c r="N62" t="s">
        <v>997</v>
      </c>
      <c r="O62">
        <v>1405</v>
      </c>
    </row>
    <row r="63" spans="1:15">
      <c r="A63" t="s">
        <v>19</v>
      </c>
      <c r="B63" t="s">
        <v>1911</v>
      </c>
      <c r="C63" s="12">
        <v>3</v>
      </c>
      <c r="D63" s="12">
        <v>285</v>
      </c>
      <c r="I63" t="s">
        <v>19</v>
      </c>
      <c r="J63" t="s">
        <v>82</v>
      </c>
      <c r="K63">
        <v>179</v>
      </c>
      <c r="M63" t="s">
        <v>19</v>
      </c>
      <c r="N63" t="s">
        <v>82</v>
      </c>
      <c r="O63">
        <v>9869.0999999999985</v>
      </c>
    </row>
    <row r="64" spans="1:15">
      <c r="A64" t="s">
        <v>2570</v>
      </c>
      <c r="C64" s="12">
        <v>11997</v>
      </c>
      <c r="D64" s="12">
        <v>649019.79999999981</v>
      </c>
      <c r="I64" t="s">
        <v>19</v>
      </c>
      <c r="J64" t="s">
        <v>243</v>
      </c>
      <c r="K64">
        <v>15</v>
      </c>
      <c r="M64" t="s">
        <v>19</v>
      </c>
      <c r="N64" t="s">
        <v>243</v>
      </c>
      <c r="O64">
        <v>615.29999999999995</v>
      </c>
    </row>
    <row r="65" spans="9:15">
      <c r="I65" t="s">
        <v>19</v>
      </c>
      <c r="J65" t="s">
        <v>1911</v>
      </c>
      <c r="K65">
        <v>3</v>
      </c>
      <c r="M65" t="s">
        <v>19</v>
      </c>
      <c r="N65" t="s">
        <v>1911</v>
      </c>
      <c r="O65">
        <v>285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08343-B24D-47B5-9F5B-84EE2040D57F}">
  <dimension ref="A3:B19"/>
  <sheetViews>
    <sheetView workbookViewId="0">
      <selection activeCell="A14" sqref="A14"/>
    </sheetView>
  </sheetViews>
  <sheetFormatPr defaultRowHeight="14"/>
  <cols>
    <col min="1" max="1" width="12.9140625" bestFit="1" customWidth="1"/>
    <col min="2" max="2" width="13.4140625" bestFit="1" customWidth="1"/>
  </cols>
  <sheetData>
    <row r="3" spans="1:2">
      <c r="A3" s="13" t="s">
        <v>2560</v>
      </c>
      <c r="B3" t="s">
        <v>2552</v>
      </c>
    </row>
    <row r="4" spans="1:2">
      <c r="A4" s="14">
        <v>0</v>
      </c>
      <c r="B4" s="12">
        <v>175</v>
      </c>
    </row>
    <row r="5" spans="1:2">
      <c r="A5" s="14">
        <v>1</v>
      </c>
      <c r="B5" s="12">
        <v>888</v>
      </c>
    </row>
    <row r="6" spans="1:2">
      <c r="A6" s="14">
        <v>2</v>
      </c>
      <c r="B6" s="12">
        <v>538</v>
      </c>
    </row>
    <row r="7" spans="1:2">
      <c r="A7" s="14">
        <v>3</v>
      </c>
      <c r="B7" s="12">
        <v>344</v>
      </c>
    </row>
    <row r="8" spans="1:2">
      <c r="A8" s="14">
        <v>4</v>
      </c>
      <c r="B8" s="12">
        <v>200</v>
      </c>
    </row>
    <row r="9" spans="1:2">
      <c r="A9" s="14">
        <v>5</v>
      </c>
      <c r="B9" s="12">
        <v>94</v>
      </c>
    </row>
    <row r="10" spans="1:2">
      <c r="A10" s="14">
        <v>6</v>
      </c>
      <c r="B10" s="12">
        <v>51</v>
      </c>
    </row>
    <row r="11" spans="1:2">
      <c r="A11" s="14">
        <v>7</v>
      </c>
      <c r="B11" s="12">
        <v>32</v>
      </c>
    </row>
    <row r="12" spans="1:2">
      <c r="A12" s="14">
        <v>8</v>
      </c>
      <c r="B12" s="12">
        <v>23</v>
      </c>
    </row>
    <row r="13" spans="1:2">
      <c r="A13" s="14">
        <v>9</v>
      </c>
      <c r="B13" s="12">
        <v>9</v>
      </c>
    </row>
    <row r="14" spans="1:2">
      <c r="A14" s="14">
        <v>10</v>
      </c>
      <c r="B14" s="12">
        <v>8</v>
      </c>
    </row>
    <row r="15" spans="1:2">
      <c r="A15" s="14">
        <v>11</v>
      </c>
      <c r="B15" s="12">
        <v>11</v>
      </c>
    </row>
    <row r="16" spans="1:2">
      <c r="A16" s="14">
        <v>12</v>
      </c>
      <c r="B16" s="12">
        <v>4</v>
      </c>
    </row>
    <row r="17" spans="1:2">
      <c r="A17" s="14">
        <v>13</v>
      </c>
      <c r="B17" s="12">
        <v>10</v>
      </c>
    </row>
    <row r="18" spans="1:2">
      <c r="A18" s="14">
        <v>14</v>
      </c>
      <c r="B18" s="12">
        <v>13</v>
      </c>
    </row>
    <row r="19" spans="1:2">
      <c r="A19" s="14" t="s">
        <v>2561</v>
      </c>
      <c r="B19" s="12">
        <v>2400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E6EE2-F424-4521-94FB-196542FB1B16}">
  <dimension ref="A3:G8"/>
  <sheetViews>
    <sheetView workbookViewId="0">
      <selection activeCell="I17" sqref="I17"/>
    </sheetView>
  </sheetViews>
  <sheetFormatPr defaultRowHeight="14"/>
  <cols>
    <col min="1" max="1" width="13.4140625" bestFit="1" customWidth="1"/>
    <col min="2" max="2" width="15.58203125" bestFit="1" customWidth="1"/>
    <col min="3" max="4" width="3.75" bestFit="1" customWidth="1"/>
    <col min="5" max="5" width="4.75" bestFit="1" customWidth="1"/>
    <col min="6" max="6" width="3.75" bestFit="1" customWidth="1"/>
    <col min="7" max="7" width="10.83203125" bestFit="1" customWidth="1"/>
    <col min="8" max="10" width="5.4140625" bestFit="1" customWidth="1"/>
    <col min="11" max="32" width="6.4140625" bestFit="1" customWidth="1"/>
    <col min="33" max="33" width="8.6640625" bestFit="1" customWidth="1"/>
    <col min="34" max="34" width="5.58203125" bestFit="1" customWidth="1"/>
    <col min="35" max="42" width="5.5" bestFit="1" customWidth="1"/>
    <col min="43" max="61" width="6.5" bestFit="1" customWidth="1"/>
    <col min="62" max="62" width="8.75" bestFit="1" customWidth="1"/>
    <col min="63" max="63" width="5.5" bestFit="1" customWidth="1"/>
    <col min="64" max="71" width="5.4140625" bestFit="1" customWidth="1"/>
    <col min="72" max="91" width="6.4140625" bestFit="1" customWidth="1"/>
    <col min="93" max="93" width="10.83203125" bestFit="1" customWidth="1"/>
  </cols>
  <sheetData>
    <row r="3" spans="1:7">
      <c r="A3" s="13" t="s">
        <v>2552</v>
      </c>
      <c r="B3" s="13" t="s">
        <v>2562</v>
      </c>
    </row>
    <row r="4" spans="1:7">
      <c r="A4" s="13" t="s">
        <v>2560</v>
      </c>
      <c r="B4">
        <v>1</v>
      </c>
      <c r="C4">
        <v>2</v>
      </c>
      <c r="D4">
        <v>3</v>
      </c>
      <c r="E4">
        <v>4</v>
      </c>
      <c r="F4">
        <v>5</v>
      </c>
      <c r="G4" t="s">
        <v>2561</v>
      </c>
    </row>
    <row r="5" spans="1:7">
      <c r="A5" s="14" t="s">
        <v>2573</v>
      </c>
      <c r="B5" s="12">
        <v>7</v>
      </c>
      <c r="C5" s="12">
        <v>37</v>
      </c>
      <c r="D5" s="12">
        <v>150</v>
      </c>
      <c r="E5" s="12">
        <v>312</v>
      </c>
      <c r="F5" s="12">
        <v>224</v>
      </c>
      <c r="G5" s="12">
        <v>730</v>
      </c>
    </row>
    <row r="6" spans="1:7">
      <c r="A6" s="14" t="s">
        <v>2574</v>
      </c>
      <c r="B6" s="12">
        <v>8</v>
      </c>
      <c r="C6" s="12">
        <v>51</v>
      </c>
      <c r="D6" s="12">
        <v>182</v>
      </c>
      <c r="E6" s="12">
        <v>373</v>
      </c>
      <c r="F6" s="12">
        <v>247</v>
      </c>
      <c r="G6" s="12">
        <v>861</v>
      </c>
    </row>
    <row r="7" spans="1:7">
      <c r="A7" s="14" t="s">
        <v>2575</v>
      </c>
      <c r="B7" s="12">
        <v>6</v>
      </c>
      <c r="C7" s="12">
        <v>39</v>
      </c>
      <c r="D7" s="12">
        <v>163</v>
      </c>
      <c r="E7" s="12">
        <v>351</v>
      </c>
      <c r="F7" s="12">
        <v>250</v>
      </c>
      <c r="G7" s="12">
        <v>809</v>
      </c>
    </row>
    <row r="8" spans="1:7">
      <c r="A8" s="14" t="s">
        <v>2561</v>
      </c>
      <c r="B8" s="12">
        <v>21</v>
      </c>
      <c r="C8" s="12">
        <v>127</v>
      </c>
      <c r="D8" s="12">
        <v>495</v>
      </c>
      <c r="E8" s="12">
        <v>1036</v>
      </c>
      <c r="F8" s="12">
        <v>721</v>
      </c>
      <c r="G8" s="12">
        <v>2400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C8" sqref="C8"/>
    </sheetView>
  </sheetViews>
  <sheetFormatPr defaultRowHeight="14"/>
  <cols>
    <col min="1" max="1" width="9.1640625" bestFit="1" customWidth="1"/>
    <col min="2" max="2" width="19.08203125" bestFit="1" customWidth="1"/>
    <col min="3" max="3" width="8.08203125" bestFit="1" customWidth="1"/>
    <col min="4" max="4" width="9.08203125" bestFit="1" customWidth="1"/>
    <col min="5" max="5" width="7.4140625" bestFit="1" customWidth="1"/>
    <col min="6" max="6" width="10" bestFit="1" customWidth="1"/>
    <col min="7" max="7" width="9.4140625" bestFit="1" customWidth="1"/>
    <col min="8" max="8" width="15.6640625" bestFit="1" customWidth="1"/>
    <col min="9" max="9" width="10.6640625" bestFit="1" customWidth="1"/>
    <col min="10" max="10" width="7.75" bestFit="1" customWidth="1"/>
    <col min="11" max="11" width="8.75" bestFit="1" customWidth="1"/>
    <col min="12" max="12" width="19.6640625" bestFit="1" customWidth="1"/>
    <col min="13" max="13" width="13.33203125" bestFit="1" customWidth="1"/>
    <col min="14" max="14" width="9.33203125" bestFit="1" customWidth="1"/>
    <col min="15" max="15" width="12.08203125" bestFit="1" customWidth="1"/>
  </cols>
  <sheetData>
    <row r="1" spans="1:15" ht="14.4">
      <c r="A1" t="s">
        <v>0</v>
      </c>
      <c r="B1" t="s">
        <v>1</v>
      </c>
      <c r="C1" t="s">
        <v>2</v>
      </c>
      <c r="D1" t="s">
        <v>3</v>
      </c>
      <c r="E1" t="s">
        <v>4</v>
      </c>
      <c r="F1" t="s">
        <v>5</v>
      </c>
      <c r="G1" t="s">
        <v>6</v>
      </c>
      <c r="H1" t="s">
        <v>7</v>
      </c>
      <c r="I1" t="s">
        <v>8</v>
      </c>
      <c r="J1" t="s">
        <v>9</v>
      </c>
      <c r="K1" t="s">
        <v>10</v>
      </c>
      <c r="L1" t="s">
        <v>11</v>
      </c>
      <c r="M1" s="2" t="s">
        <v>12</v>
      </c>
      <c r="N1" s="2" t="s">
        <v>13</v>
      </c>
      <c r="O1" s="2" t="s">
        <v>14</v>
      </c>
    </row>
    <row r="2" spans="1:15" ht="14.4">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ht="14.4">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ht="14.4">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ht="14.4">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ht="14.4">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ht="14.4">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ht="14.4">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ht="14.4">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ht="14.4">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ht="14.4">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ht="14.4">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ht="14.4">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ht="14.4">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ht="14.4">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ht="14.4">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ht="14.4">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ht="14.4">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ht="14.4">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ht="14.4">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ht="14.4">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ht="14.4">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ht="14.4">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ht="14.4">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ht="14.4">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ht="14.4">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ht="14.4">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ht="14.4">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ht="14.4">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ht="14.4">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ht="14.4">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ht="14.4">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ht="14.4">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ht="14.4">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ht="14.4">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ht="14.4">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ht="14.4">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ht="14.4">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ht="14.4">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ht="14.4">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ht="14.4">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ht="14.4">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ht="14.4">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ht="14.4">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ht="14.4">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ht="14.4">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ht="14.4">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ht="14.4">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ht="14.4">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ht="14.4">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ht="14.4">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ht="14.4">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ht="14.4">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ht="14.4">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ht="14.4">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ht="14.4">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ht="14.4">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ht="14.4">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ht="14.4">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ht="14.4">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ht="14.4">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ht="14.4">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ht="14.4">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ht="14.4">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ht="14.4">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ht="14.4">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ht="14.4">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ht="14.4">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ht="14.4">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ht="14.4">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ht="14.4">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ht="14.4">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ht="14.4">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ht="14.4">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ht="14.4">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ht="14.4">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ht="14.4">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ht="14.4">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ht="14.4">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ht="14.4">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ht="14.4">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ht="14.4">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ht="14.4">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ht="14.4">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ht="14.4">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ht="14.4">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ht="14.4">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ht="14.4">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ht="14.4">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ht="14.4">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ht="14.4">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ht="14.4">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ht="14.4">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ht="14.4">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ht="14.4">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ht="14.4">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ht="14.4">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ht="14.4">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ht="14.4">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ht="14.4">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ht="14.4">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ht="14.4">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ht="14.4">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ht="14.4">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ht="14.4">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ht="14.4">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ht="14.4">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ht="14.4">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ht="14.4">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ht="14.4">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ht="14.4">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ht="14.4">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ht="14.4">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ht="14.4">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ht="14.4">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ht="14.4">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ht="14.4">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ht="14.4">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ht="14.4">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ht="14.4">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ht="14.4">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ht="14.4">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ht="14.4">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ht="14.4">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ht="14.4">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ht="14.4">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ht="14.4">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ht="14.4">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ht="14.4">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ht="14.4">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ht="14.4">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ht="14.4">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ht="14.4">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ht="14.4">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ht="14.4">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ht="14.4">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ht="14.4">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ht="14.4">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ht="14.4">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ht="14.4">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ht="14.4">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ht="14.4">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ht="14.4">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ht="14.4">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ht="14.4">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ht="14.4">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ht="14.4">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ht="14.4">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ht="14.4">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ht="14.4">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ht="14.4">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ht="14.4">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ht="14.4">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ht="14.4">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ht="14.4">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ht="14.4">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ht="14.4">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ht="14.4">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ht="14.4">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ht="14.4">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ht="14.4">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ht="14.4">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ht="14.4">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ht="14.4">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ht="14.4">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ht="14.4">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ht="14.4">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ht="14.4">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ht="14.4">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ht="14.4">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ht="14.4">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ht="14.4">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ht="14.4">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ht="14.4">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ht="14.4">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ht="14.4">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ht="14.4">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ht="14.4">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ht="14.4">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ht="14.4">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ht="14.4">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ht="14.4">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ht="14.4">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ht="14.4">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ht="14.4">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ht="14.4">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ht="14.4">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ht="14.4">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ht="14.4">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ht="14.4">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ht="14.4">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ht="14.4">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ht="14.4">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ht="14.4">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ht="14.4">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ht="14.4">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ht="14.4">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ht="14.4">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ht="14.4">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ht="14.4">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ht="14.4">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ht="14.4">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ht="14.4">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ht="14.4">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ht="14.4">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ht="14.4">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ht="14.4">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ht="14.4">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ht="14.4">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ht="14.4">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ht="14.4">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ht="14.4">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ht="14.4">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ht="14.4">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ht="14.4">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ht="14.4">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ht="14.4">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ht="14.4">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ht="14.4">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ht="14.4">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ht="14.4">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ht="14.4">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ht="14.4">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ht="14.4">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ht="14.4">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ht="14.4">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ht="14.4">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ht="14.4">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ht="14.4">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ht="14.4">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ht="14.4">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ht="14.4">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ht="14.4">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ht="14.4">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ht="14.4">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ht="14.4">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ht="14.4">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ht="14.4">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ht="14.4">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ht="14.4">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ht="14.4">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ht="14.4">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ht="14.4">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ht="14.4">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ht="14.4">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ht="14.4">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ht="14.4">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ht="14.4">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ht="14.4">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ht="14.4">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ht="14.4">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ht="14.4">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ht="14.4">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ht="14.4">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ht="14.4">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ht="14.4">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ht="14.4">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ht="14.4">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ht="14.4">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ht="14.4">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ht="14.4">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ht="14.4">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ht="14.4">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ht="14.4">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ht="14.4">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ht="14.4">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ht="14.4">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ht="14.4">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ht="14.4">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ht="14.4">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ht="14.4">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ht="14.4">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ht="14.4">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ht="14.4">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ht="14.4">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ht="14.4">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ht="14.4">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ht="14.4">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ht="14.4">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ht="14.4">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ht="14.4">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ht="14.4">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ht="14.4">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ht="14.4">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ht="14.4">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ht="14.4">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ht="14.4">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ht="14.4">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ht="14.4">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ht="14.4">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ht="14.4">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ht="14.4">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ht="14.4">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ht="14.4">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ht="14.4">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ht="14.4">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ht="14.4">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ht="14.4">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ht="14.4">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ht="14.4">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ht="14.4">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ht="14.4">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ht="14.4">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ht="14.4">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ht="14.4">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ht="14.4">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ht="14.4">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ht="14.4">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ht="14.4">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ht="14.4">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ht="14.4">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ht="14.4">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ht="14.4">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ht="14.4">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ht="14.4">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ht="14.4">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ht="14.4">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ht="14.4">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ht="14.4">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ht="14.4">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ht="14.4">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ht="14.4">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ht="14.4">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ht="14.4">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ht="14.4">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ht="14.4">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ht="14.4">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ht="14.4">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ht="14.4">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ht="14.4">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ht="14.4">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ht="14.4">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ht="14.4">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ht="14.4">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ht="14.4">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ht="14.4">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ht="14.4">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ht="14.4">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ht="14.4">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ht="14.4">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ht="14.4">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ht="14.4">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ht="14.4">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ht="14.4">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ht="14.4">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ht="14.4">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ht="14.4">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ht="14.4">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ht="14.4">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ht="14.4">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ht="14.4">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ht="14.4">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ht="14.4">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ht="14.4">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ht="14.4">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ht="14.4">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ht="14.4">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ht="14.4">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ht="14.4">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ht="14.4">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ht="14.4">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ht="14.4">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ht="14.4">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ht="14.4">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ht="14.4">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ht="14.4">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ht="14.4">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ht="14.4">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ht="14.4">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ht="14.4">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ht="14.4">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ht="14.4">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ht="14.4">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ht="14.4">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ht="14.4">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ht="14.4">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ht="14.4">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ht="14.4">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ht="14.4">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ht="14.4">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ht="14.4">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ht="14.4">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ht="14.4">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ht="14.4">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ht="14.4">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ht="14.4">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ht="14.4">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ht="14.4">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ht="14.4">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ht="14.4">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ht="14.4">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ht="14.4">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ht="14.4">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ht="14.4">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ht="14.4">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ht="14.4">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ht="14.4">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ht="14.4">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ht="14.4">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ht="14.4">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ht="14.4">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ht="14.4">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ht="14.4">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ht="14.4">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ht="14.4">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ht="14.4">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ht="14.4">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ht="14.4">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ht="14.4">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ht="14.4">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ht="14.4">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ht="14.4">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ht="14.4">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ht="14.4">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ht="14.4">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ht="14.4">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ht="14.4">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ht="14.4">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ht="14.4">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ht="14.4">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ht="14.4">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ht="14.4">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ht="14.4">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ht="14.4">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ht="14.4">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ht="14.4">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ht="14.4">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ht="14.4">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ht="14.4">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ht="14.4">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ht="14.4">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ht="14.4">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ht="14.4">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ht="14.4">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ht="14.4">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ht="14.4">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ht="14.4">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ht="14.4">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ht="14.4">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ht="14.4">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ht="14.4">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ht="14.4">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ht="14.4">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ht="14.4">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ht="14.4">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ht="14.4">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ht="14.4">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ht="14.4">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ht="14.4">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ht="14.4">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ht="14.4">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ht="14.4">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ht="14.4">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ht="14.4">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ht="14.4">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ht="14.4">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ht="14.4">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ht="14.4">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ht="14.4">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ht="14.4">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ht="14.4">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ht="14.4">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ht="14.4">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ht="14.4">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ht="14.4">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ht="14.4">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ht="14.4">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ht="14.4">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ht="14.4">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ht="14.4">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ht="14.4">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ht="14.4">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ht="14.4">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ht="14.4">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ht="14.4">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ht="14.4">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ht="14.4">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ht="14.4">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ht="14.4">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ht="14.4">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ht="14.4">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ht="14.4">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ht="14.4">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ht="14.4">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ht="14.4">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ht="14.4">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ht="14.4">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ht="14.4">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ht="14.4">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ht="14.4">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ht="14.4">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ht="14.4">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ht="14.4">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ht="14.4">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ht="14.4">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ht="14.4">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ht="14.4">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ht="14.4">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ht="14.4">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ht="14.4">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ht="14.4">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ht="14.4">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ht="14.4">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ht="14.4">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ht="14.4">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ht="14.4">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ht="14.4">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ht="14.4">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ht="14.4">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ht="14.4">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ht="14.4">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ht="14.4">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ht="14.4">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ht="14.4">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ht="14.4">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ht="14.4">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ht="14.4">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ht="14.4">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ht="14.4">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ht="14.4">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ht="14.4">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ht="14.4">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ht="14.4">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ht="14.4">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ht="14.4">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ht="14.4">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ht="14.4">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ht="14.4">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ht="14.4">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ht="14.4">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ht="14.4">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ht="14.4">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ht="14.4">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ht="14.4">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ht="14.4">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ht="14.4">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ht="14.4">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ht="14.4">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ht="14.4">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ht="14.4">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ht="14.4">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ht="14.4">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ht="14.4">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ht="14.4">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ht="14.4">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ht="14.4">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ht="14.4">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ht="14.4">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ht="14.4">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ht="14.4">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ht="14.4">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ht="14.4">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ht="14.4">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ht="14.4">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ht="14.4">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ht="14.4">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ht="14.4">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ht="14.4">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ht="14.4">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ht="14.4">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ht="14.4">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ht="14.4">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ht="14.4">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ht="14.4">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ht="14.4">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ht="14.4">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ht="14.4">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ht="14.4">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ht="14.4">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ht="14.4">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ht="14.4">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ht="14.4">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ht="14.4">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ht="14.4">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ht="14.4">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ht="14.4">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ht="14.4">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ht="14.4">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ht="14.4">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ht="14.4">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ht="14.4">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ht="14.4">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ht="14.4">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ht="14.4">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ht="14.4">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ht="14.4">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ht="14.4">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ht="14.4">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ht="14.4">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ht="14.4">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ht="14.4">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ht="14.4">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ht="14.4">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ht="14.4">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ht="14.4">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ht="14.4">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ht="14.4">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ht="14.4">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ht="14.4">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ht="14.4">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ht="14.4">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ht="14.4">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ht="14.4">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ht="14.4">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ht="14.4">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ht="14.4">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ht="14.4">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ht="14.4">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ht="14.4">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ht="14.4">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ht="14.4">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ht="14.4">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ht="14.4">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ht="14.4">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ht="14.4">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ht="14.4">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ht="14.4">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ht="14.4">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ht="14.4">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ht="14.4">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ht="14.4">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ht="14.4">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ht="14.4">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ht="14.4">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ht="14.4">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ht="14.4">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ht="14.4">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ht="14.4">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ht="14.4">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ht="14.4">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ht="14.4">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ht="14.4">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ht="14.4">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ht="14.4">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ht="14.4">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ht="14.4">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ht="14.4">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ht="14.4">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ht="14.4">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ht="14.4">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ht="14.4">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ht="14.4">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ht="14.4">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ht="14.4">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ht="14.4">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ht="14.4">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ht="14.4">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ht="14.4">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ht="14.4">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ht="14.4">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ht="14.4">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ht="14.4">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ht="14.4">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ht="14.4">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ht="14.4">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ht="14.4">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ht="14.4">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ht="14.4">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ht="14.4">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ht="14.4">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ht="14.4">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ht="14.4">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ht="14.4">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ht="14.4">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ht="14.4">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ht="14.4">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ht="14.4">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ht="14.4">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ht="14.4">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ht="14.4">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ht="14.4">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ht="14.4">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ht="14.4">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ht="14.4">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ht="14.4">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ht="14.4">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ht="14.4">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ht="14.4">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ht="14.4">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ht="14.4">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ht="14.4">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ht="14.4">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ht="14.4">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ht="14.4">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ht="14.4">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ht="14.4">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ht="14.4">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ht="14.4">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ht="14.4">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ht="14.4">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ht="14.4">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ht="14.4">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ht="14.4">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ht="14.4">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ht="14.4">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ht="14.4">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ht="14.4">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ht="14.4">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ht="14.4">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ht="14.4">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ht="14.4">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ht="14.4">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ht="14.4">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ht="14.4">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ht="14.4">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ht="14.4">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ht="14.4">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ht="14.4">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ht="14.4">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ht="14.4">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ht="14.4">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ht="14.4">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ht="14.4">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ht="14.4">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ht="14.4">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ht="14.4">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ht="14.4">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ht="14.4">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ht="14.4">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ht="14.4">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ht="14.4">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ht="14.4">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ht="14.4">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ht="14.4">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ht="14.4">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ht="14.4">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ht="14.4">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ht="14.4">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ht="14.4">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ht="14.4">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ht="14.4">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ht="14.4">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ht="14.4">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ht="14.4">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ht="14.4">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ht="14.4">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ht="14.4">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ht="14.4">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ht="14.4">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ht="14.4">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ht="14.4">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ht="14.4">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ht="14.4">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ht="14.4">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ht="14.4">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ht="14.4">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ht="14.4">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ht="14.4">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ht="14.4">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ht="14.4">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ht="14.4">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ht="14.4">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ht="14.4">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ht="14.4">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ht="14.4">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ht="14.4">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ht="14.4">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ht="14.4">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ht="14.4">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ht="14.4">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ht="14.4">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ht="14.4">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ht="14.4">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ht="14.4">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ht="14.4">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ht="14.4">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ht="14.4">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ht="14.4">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ht="14.4">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ht="14.4">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ht="14.4">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ht="14.4">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ht="14.4">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ht="14.4">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ht="14.4">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ht="14.4">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ht="14.4">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ht="14.4">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ht="14.4">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ht="14.4">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ht="14.4">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ht="14.4">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ht="14.4">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ht="14.4">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ht="14.4">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ht="14.4">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ht="14.4">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ht="14.4">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ht="14.4">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ht="14.4">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ht="14.4">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ht="14.4">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ht="14.4">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ht="14.4">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ht="14.4">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ht="14.4">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ht="14.4">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ht="14.4">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ht="14.4">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ht="14.4">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ht="14.4">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ht="14.4">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ht="14.4">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ht="14.4">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ht="14.4">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ht="14.4">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ht="14.4">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ht="14.4">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ht="14.4">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ht="14.4">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ht="14.4">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ht="14.4">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ht="14.4">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ht="14.4">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ht="14.4">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ht="14.4">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ht="14.4">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ht="14.4">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ht="14.4">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ht="14.4">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ht="14.4">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ht="14.4">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ht="14.4">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ht="14.4">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ht="14.4">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ht="14.4">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ht="14.4">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ht="14.4">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ht="14.4">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ht="14.4">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ht="14.4">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ht="14.4">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ht="14.4">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ht="14.4">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ht="14.4">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ht="14.4">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ht="14.4">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ht="14.4">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ht="14.4">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ht="14.4">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ht="14.4">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ht="14.4">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ht="14.4">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ht="14.4">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ht="14.4">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ht="14.4">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ht="14.4">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ht="14.4">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ht="14.4">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ht="14.4">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ht="14.4">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ht="14.4">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ht="14.4">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ht="14.4">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ht="14.4">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ht="14.4">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ht="14.4">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ht="14.4">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ht="14.4">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ht="14.4">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ht="14.4">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ht="14.4">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ht="14.4">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ht="14.4">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ht="14.4">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ht="14.4">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ht="14.4">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ht="14.4">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ht="14.4">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ht="14.4">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ht="14.4">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ht="14.4">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ht="14.4">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ht="14.4">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ht="14.4">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ht="14.4">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ht="14.4">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ht="14.4">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ht="14.4">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ht="14.4">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ht="14.4">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ht="14.4">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ht="14.4">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ht="14.4">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ht="14.4">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ht="14.4">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ht="14.4">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ht="14.4">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ht="14.4">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ht="14.4">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ht="14.4">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ht="14.4">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ht="14.4">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ht="14.4">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ht="14.4">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ht="14.4">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ht="14.4">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ht="14.4">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ht="14.4">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ht="14.4">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ht="14.4">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ht="14.4">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ht="14.4">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ht="14.4">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ht="14.4">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ht="14.4">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ht="14.4">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ht="14.4">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ht="14.4">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ht="14.4">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ht="14.4">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ht="14.4">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ht="14.4">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ht="14.4">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ht="14.4">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ht="14.4">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ht="14.4">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ht="14.4">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ht="14.4">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ht="14.4">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ht="14.4">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ht="14.4">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ht="14.4">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ht="14.4">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ht="14.4">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ht="14.4">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ht="14.4">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ht="14.4">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ht="14.4">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ht="14.4">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ht="14.4">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ht="14.4">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ht="14.4">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ht="14.4">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ht="14.4">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ht="14.4">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ht="14.4">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ht="14.4">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ht="14.4">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ht="14.4">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ht="14.4">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ht="14.4">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ht="14.4">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ht="14.4">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ht="14.4">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ht="14.4">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ht="14.4">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ht="14.4">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ht="14.4">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ht="14.4">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ht="14.4">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ht="14.4">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ht="14.4">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ht="14.4">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ht="14.4">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ht="14.4">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ht="14.4">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ht="14.4">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ht="14.4">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ht="14.4">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ht="14.4">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ht="14.4">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ht="14.4">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ht="14.4">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ht="14.4">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ht="14.4">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ht="14.4">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ht="14.4">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ht="14.4">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ht="14.4">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ht="14.4">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ht="14.4">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ht="14.4">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ht="14.4">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ht="14.4">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ht="14.4">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ht="14.4">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ht="14.4">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ht="14.4">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ht="14.4">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ht="14.4">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ht="14.4">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ht="14.4">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ht="14.4">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ht="14.4">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ht="14.4">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ht="14.4">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ht="14.4">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ht="14.4">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ht="14.4">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ht="14.4">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ht="14.4">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ht="14.4">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ht="14.4">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ht="14.4">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ht="14.4">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ht="14.4">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ht="14.4">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ht="14.4">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ht="14.4">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ht="14.4">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ht="14.4">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ht="14.4">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ht="14.4">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ht="14.4">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ht="14.4">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ht="14.4">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ht="14.4">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ht="14.4">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ht="14.4">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ht="14.4">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ht="14.4">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ht="14.4">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ht="14.4">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ht="14.4">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ht="14.4">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ht="14.4">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ht="14.4">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ht="14.4">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ht="14.4">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ht="14.4">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ht="14.4">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ht="14.4">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ht="14.4">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ht="14.4">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ht="14.4">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ht="14.4">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ht="14.4">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ht="14.4">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ht="14.4">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ht="14.4">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ht="14.4">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ht="14.4">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ht="14.4">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ht="14.4">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ht="14.4">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ht="14.4">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ht="14.4">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ht="14.4">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ht="14.4">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ht="14.4">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ht="14.4">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ht="14.4">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ht="14.4">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ht="14.4">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ht="14.4">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ht="14.4">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ht="14.4">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ht="14.4">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ht="14.4">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ht="14.4">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ht="14.4">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ht="14.4">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ht="14.4">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ht="14.4">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ht="14.4">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ht="14.4">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ht="14.4">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ht="14.4">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ht="14.4">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ht="14.4">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ht="14.4">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ht="14.4">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ht="14.4">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ht="14.4">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ht="14.4">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ht="14.4">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ht="14.4">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ht="14.4">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ht="14.4">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ht="14.4">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ht="14.4">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ht="14.4">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ht="14.4">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ht="14.4">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ht="14.4">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ht="14.4">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ht="14.4">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ht="14.4">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ht="14.4">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ht="14.4">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ht="14.4">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ht="14.4">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ht="14.4">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ht="14.4">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ht="14.4">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ht="14.4">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ht="14.4">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ht="14.4">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ht="14.4">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ht="14.4">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ht="14.4">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ht="14.4">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ht="14.4">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ht="14.4">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ht="14.4">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ht="14.4">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ht="14.4">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ht="14.4">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ht="14.4">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ht="14.4">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ht="14.4">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ht="14.4">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ht="14.4">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ht="14.4">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ht="14.4">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ht="14.4">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ht="14.4">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ht="14.4">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ht="14.4">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ht="14.4">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ht="14.4">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ht="14.4">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ht="14.4">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ht="14.4">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ht="14.4">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ht="14.4">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ht="14.4">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ht="14.4">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ht="14.4">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ht="14.4">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ht="14.4">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ht="14.4">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ht="14.4">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ht="14.4">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ht="14.4">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ht="14.4">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ht="14.4">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ht="14.4">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ht="14.4">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ht="14.4">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ht="14.4">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ht="14.4">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ht="14.4">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ht="14.4">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ht="14.4">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ht="14.4">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ht="14.4">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ht="14.4">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ht="14.4">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ht="14.4">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ht="14.4">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ht="14.4">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ht="14.4">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ht="14.4">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ht="14.4">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ht="14.4">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ht="14.4">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ht="14.4">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ht="14.4">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ht="14.4">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ht="14.4">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ht="14.4">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ht="14.4">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ht="14.4">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ht="14.4">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ht="14.4">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ht="14.4">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ht="14.4">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ht="14.4">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ht="14.4">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ht="14.4">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ht="14.4">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ht="14.4">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ht="14.4">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ht="14.4">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ht="14.4">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ht="14.4">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ht="14.4">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ht="14.4">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ht="14.4">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ht="14.4">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ht="14.4">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ht="14.4">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ht="14.4">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ht="14.4">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ht="14.4">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ht="14.4">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ht="14.4">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ht="14.4">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ht="14.4">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ht="14.4">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ht="14.4">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ht="14.4">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ht="14.4">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ht="14.4">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ht="14.4">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ht="14.4">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ht="14.4">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ht="14.4">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ht="14.4">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ht="14.4">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ht="14.4">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ht="14.4">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ht="14.4">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ht="14.4">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ht="14.4">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ht="14.4">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ht="14.4">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ht="14.4">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ht="14.4">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ht="14.4">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ht="14.4">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ht="14.4">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ht="14.4">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ht="14.4">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ht="14.4">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ht="14.4">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ht="14.4">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ht="14.4">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ht="14.4">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ht="14.4">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ht="14.4">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ht="14.4">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ht="14.4">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ht="14.4">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ht="14.4">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ht="14.4">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ht="14.4">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ht="14.4">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ht="14.4">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ht="14.4">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ht="14.4">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ht="14.4">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ht="14.4">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ht="14.4">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ht="14.4">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ht="14.4">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ht="14.4">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ht="14.4">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ht="14.4">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ht="14.4">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ht="14.4">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ht="14.4">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ht="14.4">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ht="14.4">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ht="14.4">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ht="14.4">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ht="14.4">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ht="14.4">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ht="14.4">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ht="14.4">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ht="14.4">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ht="14.4">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ht="14.4">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ht="14.4">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ht="14.4">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ht="14.4">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ht="14.4">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ht="14.4">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ht="14.4">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ht="14.4">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ht="14.4">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ht="14.4">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ht="14.4">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ht="14.4">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ht="14.4">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ht="14.4">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ht="14.4">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ht="14.4">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ht="14.4">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ht="14.4">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ht="14.4">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ht="14.4">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ht="14.4">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ht="14.4">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ht="14.4">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ht="14.4">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ht="14.4">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ht="14.4">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ht="14.4">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ht="14.4">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ht="14.4">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ht="14.4">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ht="14.4">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ht="14.4">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ht="14.4">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ht="14.4">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ht="14.4">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ht="14.4">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ht="14.4">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ht="14.4">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ht="14.4">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ht="14.4">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ht="14.4">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ht="14.4">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ht="14.4">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ht="14.4">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ht="14.4">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ht="14.4">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ht="14.4">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ht="14.4">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ht="14.4">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ht="14.4">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ht="14.4">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ht="14.4">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ht="14.4">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ht="14.4">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ht="14.4">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ht="14.4">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ht="14.4">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ht="14.4">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ht="14.4">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ht="14.4">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ht="14.4">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ht="14.4">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ht="14.4">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ht="14.4">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ht="14.4">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ht="14.4">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ht="14.4">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ht="14.4">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ht="14.4">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ht="14.4">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ht="14.4">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ht="14.4">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ht="14.4">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ht="14.4">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ht="14.4">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ht="14.4">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ht="14.4">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ht="14.4">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ht="14.4">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ht="14.4">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ht="14.4">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ht="14.4">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ht="14.4">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ht="14.4">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ht="14.4">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ht="14.4">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ht="14.4">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ht="14.4">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ht="14.4">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ht="14.4">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ht="14.4">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ht="14.4">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ht="14.4">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ht="14.4">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ht="14.4">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ht="14.4">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ht="14.4">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ht="14.4">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ht="14.4">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ht="14.4">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ht="14.4">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ht="14.4">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ht="14.4">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ht="14.4">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ht="14.4">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ht="14.4">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ht="14.4">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ht="14.4">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ht="14.4">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ht="14.4">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ht="14.4">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ht="14.4">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ht="14.4">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ht="14.4">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ht="14.4">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ht="14.4">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ht="14.4">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ht="14.4">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ht="14.4">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ht="14.4">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ht="14.4">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ht="14.4">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ht="14.4">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ht="14.4">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ht="14.4">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ht="14.4">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ht="14.4">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ht="14.4">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ht="14.4">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ht="14.4">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ht="14.4">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ht="14.4">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ht="14.4">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ht="14.4">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ht="14.4">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ht="14.4">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ht="14.4">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ht="14.4">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ht="14.4">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ht="14.4">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ht="14.4">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ht="14.4">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ht="14.4">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ht="14.4">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ht="14.4">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ht="14.4">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ht="14.4">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ht="14.4">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ht="14.4">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ht="14.4">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ht="14.4">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ht="14.4">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ht="14.4">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ht="14.4">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ht="14.4">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ht="14.4">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ht="14.4">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ht="14.4">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ht="14.4">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ht="14.4">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ht="14.4">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ht="14.4">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ht="14.4">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ht="14.4">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ht="14.4">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ht="14.4">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ht="14.4">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ht="14.4">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ht="14.4">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ht="14.4">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ht="14.4">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ht="14.4">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ht="14.4">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ht="14.4">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ht="14.4">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ht="14.4">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ht="14.4">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ht="14.4">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ht="14.4">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ht="14.4">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ht="14.4">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ht="14.4">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ht="14.4">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ht="14.4">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ht="14.4">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ht="14.4">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ht="14.4">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ht="14.4">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ht="14.4">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ht="14.4">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ht="14.4">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ht="14.4">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ht="14.4">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ht="14.4">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ht="14.4">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ht="14.4">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ht="14.4">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ht="14.4">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ht="14.4">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ht="14.4">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ht="14.4">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ht="14.4">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ht="14.4">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ht="14.4">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ht="14.4">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ht="14.4">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ht="14.4">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ht="14.4">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ht="14.4">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ht="14.4">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ht="14.4">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ht="14.4">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ht="14.4">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ht="14.4">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ht="14.4">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ht="14.4">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ht="14.4">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ht="14.4">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ht="14.4">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ht="14.4">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ht="14.4">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ht="14.4">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ht="14.4">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ht="14.4">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ht="14.4">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ht="14.4">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ht="14.4">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ht="14.4">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ht="14.4">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ht="14.4">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ht="14.4">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ht="14.4">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ht="14.4">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ht="14.4">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ht="14.4">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ht="14.4">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ht="14.4">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ht="14.4">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ht="14.4">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ht="14.4">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ht="14.4">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ht="14.4">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ht="14.4">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ht="14.4">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ht="14.4">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ht="14.4">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ht="14.4">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ht="14.4">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ht="14.4">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ht="14.4">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ht="14.4">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ht="14.4">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ht="14.4">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ht="14.4">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ht="14.4">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ht="14.4">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ht="14.4">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ht="14.4">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ht="14.4">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ht="14.4">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ht="14.4">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ht="14.4">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ht="14.4">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ht="14.4">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ht="14.4">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ht="14.4">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ht="14.4">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ht="14.4">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ht="14.4">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ht="14.4">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ht="14.4">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ht="14.4">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ht="14.4">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ht="14.4">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ht="14.4">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ht="14.4">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ht="14.4">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ht="14.4">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ht="14.4">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ht="14.4">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ht="14.4">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ht="14.4">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ht="14.4">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ht="14.4">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ht="14.4">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ht="14.4">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ht="14.4">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ht="14.4">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ht="14.4">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ht="14.4">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ht="14.4">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ht="14.4">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ht="14.4">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ht="14.4">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ht="14.4">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ht="14.4">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ht="14.4">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ht="14.4">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ht="14.4">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ht="14.4">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ht="14.4">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ht="14.4">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ht="14.4">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ht="14.4">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ht="14.4">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ht="14.4">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ht="14.4">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ht="14.4">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ht="14.4">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ht="14.4">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ht="14.4">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ht="14.4">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ht="14.4">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ht="14.4">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ht="14.4">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ht="14.4">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ht="14.4">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ht="14.4">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ht="14.4">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ht="14.4">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ht="14.4">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ht="14.4">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ht="14.4">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ht="14.4">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ht="14.4">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ht="14.4">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ht="14.4">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ht="14.4">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ht="14.4">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ht="14.4">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ht="14.4">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ht="14.4">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ht="14.4">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ht="14.4">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ht="14.4">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ht="14.4">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ht="14.4">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ht="14.4">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ht="14.4">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ht="14.4">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ht="14.4">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ht="14.4">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ht="14.4">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ht="14.4">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ht="14.4">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ht="14.4">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ht="14.4">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ht="14.4">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ht="14.4">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ht="14.4">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ht="14.4">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ht="14.4">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ht="14.4">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ht="14.4">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ht="14.4">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ht="14.4">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ht="14.4">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ht="14.4">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ht="14.4">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ht="14.4">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ht="14.4">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ht="14.4">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ht="14.4">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ht="14.4">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ht="14.4">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ht="14.4">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ht="14.4">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ht="14.4">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ht="14.4">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ht="14.4">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ht="14.4">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ht="14.4">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ht="14.4">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ht="14.4">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ht="14.4">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ht="14.4">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ht="14.4">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ht="14.4">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ht="14.4">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ht="14.4">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ht="14.4">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ht="14.4">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ht="14.4">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ht="14.4">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ht="14.4">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ht="14.4">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ht="14.4">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ht="14.4">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ht="14.4">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ht="14.4">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ht="14.4">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ht="14.4">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ht="14.4">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ht="14.4">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ht="14.4">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ht="14.4">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ht="14.4">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ht="14.4">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ht="14.4">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ht="14.4">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ht="14.4">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ht="14.4">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ht="14.4">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ht="14.4">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ht="14.4">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ht="14.4">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ht="14.4">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ht="14.4">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ht="14.4">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ht="14.4">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ht="14.4">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ht="14.4">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ht="14.4">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ht="14.4">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ht="14.4">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ht="14.4">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ht="14.4">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ht="14.4">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ht="14.4">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ht="14.4">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ht="14.4">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ht="14.4">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ht="14.4">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ht="14.4">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ht="14.4">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ht="14.4">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ht="14.4">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ht="14.4">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ht="14.4">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ht="14.4">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ht="14.4">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ht="14.4">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ht="14.4">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ht="14.4">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ht="14.4">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ht="14.4">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ht="14.4">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ht="14.4">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ht="14.4">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ht="14.4">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ht="14.4">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ht="14.4">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ht="14.4">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ht="14.4">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ht="14.4">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ht="14.4">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ht="14.4">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ht="14.4">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ht="14.4">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ht="14.4">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ht="14.4">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ht="14.4">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ht="14.4">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ht="14.4">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ht="14.4">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ht="14.4">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ht="14.4">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ht="14.4">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ht="14.4">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ht="14.4">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ht="14.4">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ht="14.4">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ht="14.4">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ht="14.4">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ht="14.4">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ht="14.4">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ht="14.4">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ht="14.4">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ht="14.4">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ht="14.4">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ht="14.4">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ht="14.4">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ht="14.4">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ht="14.4">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ht="14.4">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ht="14.4">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ht="14.4">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ht="14.4">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ht="14.4">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ht="14.4">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ht="14.4">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ht="14.4">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ht="14.4">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ht="14.4">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ht="14.4">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ht="14.4">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ht="14.4">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ht="14.4">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ht="14.4">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ht="14.4">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ht="14.4">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ht="14.4">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ht="14.4">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ht="14.4">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ht="14.4">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ht="14.4">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ht="14.4">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ht="14.4">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ht="14.4">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ht="14.4">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ht="14.4">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ht="14.4">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ht="14.4">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ht="14.4">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ht="14.4">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ht="14.4">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ht="14.4">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ht="14.4">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ht="14.4">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ht="14.4">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ht="14.4">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ht="14.4">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ht="14.4">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ht="14.4">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ht="14.4">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ht="14.4">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ht="14.4">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ht="14.4">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ht="14.4">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ht="14.4">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ht="14.4">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ht="14.4">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ht="14.4">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ht="14.4">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ht="14.4">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ht="14.4">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ht="14.4">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ht="14.4">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ht="14.4">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ht="14.4">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ht="14.4">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ht="14.4">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ht="14.4">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ht="14.4">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ht="14.4">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ht="14.4">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ht="14.4">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ht="14.4">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ht="14.4">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ht="14.4">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ht="14.4">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ht="14.4">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ht="14.4">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ht="14.4">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ht="14.4">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ht="14.4">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ht="14.4">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ht="14.4">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ht="14.4">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ht="14.4">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ht="14.4">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ht="14.4">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ht="14.4">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ht="14.4">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ht="14.4">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ht="14.4">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ht="14.4">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ht="14.4">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ht="14.4">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ht="14.4">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ht="14.4">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ht="14.4">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ht="14.4">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ht="14.4">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ht="14.4">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ht="14.4">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ht="14.4">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ht="14.4">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ht="14.4">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ht="14.4">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ht="14.4">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ht="14.4">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ht="14.4">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ht="14.4">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ht="14.4">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ht="14.4">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ht="14.4">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ht="14.4">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ht="14.4">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ht="14.4">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ht="14.4">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ht="14.4">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ht="14.4">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ht="14.4">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ht="14.4">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ht="14.4">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ht="14.4">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ht="14.4">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ht="14.4">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ht="14.4">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ht="14.4">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ht="14.4">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ht="14.4">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ht="14.4">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ht="14.4">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ht="14.4">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ht="14.4">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ht="14.4">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ht="14.4">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ht="14.4">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ht="14.4">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ht="14.4">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ht="14.4">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ht="14.4">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ht="14.4">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ht="14.4">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ht="14.4">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ht="14.4">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ht="14.4">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ht="14.4">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ht="14.4">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ht="14.4">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ht="14.4">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ht="14.4">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ht="14.4">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ht="14.4">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ht="14.4">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ht="14.4">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ht="14.4">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ht="14.4">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ht="14.4">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ht="14.4">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ht="14.4">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ht="14.4">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ht="14.4">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ht="14.4">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ht="14.4">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ht="14.4">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ht="14.4">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ht="14.4">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ht="14.4">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ht="14.4">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ht="14.4">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ht="14.4">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ht="14.4">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ht="14.4">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ht="14.4">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ht="14.4">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ht="14.4">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ht="14.4">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ht="14.4">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ht="14.4">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ht="14.4">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ht="14.4">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ht="14.4">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ht="14.4">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ht="14.4">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ht="14.4">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ht="14.4">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ht="14.4">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ht="14.4">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ht="14.4">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ht="14.4">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ht="14.4">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ht="14.4">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ht="14.4">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ht="14.4">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ht="14.4">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ht="14.4">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ht="14.4">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ht="14.4">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ht="14.4">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ht="14.4">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ht="14.4">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ht="14.4">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ht="14.4">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ht="14.4">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ht="14.4">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ht="14.4">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ht="14.4">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ht="14.4">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ht="14.4">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ht="14.4">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ht="14.4">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ht="14.4">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ht="14.4">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ht="14.4">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ht="14.4">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ht="14.4">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ht="14.4">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ht="14.4">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ht="14.4">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ht="14.4">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ht="14.4">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ht="14.4">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ht="14.4">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ht="14.4">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ht="14.4">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ht="14.4">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ht="14.4">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ht="14.4">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ht="14.4">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ht="14.4">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ht="14.4">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ht="14.4">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ht="14.4">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ht="14.4">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ht="14.4">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ht="14.4">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ht="14.4">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ht="14.4">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ht="14.4">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ht="14.4">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ht="14.4">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ht="14.4">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ht="14.4">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ht="14.4">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ht="14.4">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ht="14.4">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ht="14.4">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ht="14.4">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ht="14.4">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ht="14.4">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ht="14.4">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ht="14.4">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ht="14.4">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ht="14.4">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ht="14.4">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ht="14.4">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ht="14.4">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ht="14.4">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ht="14.4">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ht="14.4">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ht="14.4">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ht="14.4">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ht="14.4">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ht="14.4">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ht="14.4">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ht="14.4">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ht="14.4">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ht="14.4">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ht="14.4">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ht="14.4">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ht="14.4">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ht="14.4">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ht="14.4">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ht="14.4">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ht="14.4">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ht="14.4">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ht="14.4">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ht="14.4">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ht="14.4">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ht="14.4">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ht="14.4">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ht="14.4">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ht="14.4">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ht="14.4">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ht="14.4">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ht="14.4">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ht="14.4">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ht="14.4">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ht="14.4">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ht="14.4">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ht="14.4">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ht="14.4">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ht="14.4">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ht="14.4">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ht="14.4">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ht="14.4">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ht="14.4">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ht="14.4">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ht="14.4">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ht="14.4">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ht="14.4">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ht="14.4">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ht="14.4">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ht="14.4">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ht="14.4">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ht="14.4">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ht="14.4">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ht="14.4">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ht="14.4">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ht="14.4">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ht="14.4">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ht="14.4">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ht="14.4">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ht="14.4">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ht="14.4">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ht="14.4">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ht="14.4">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ht="14.4">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ht="14.4">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ht="14.4">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ht="14.4">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ht="14.4">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ht="14.4">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ht="14.4">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ht="14.4">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ht="14.4">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ht="14.4">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ht="14.4">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ht="14.4">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ht="14.4">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ht="14.4">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ht="14.4">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ht="14.4">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ht="14.4">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ht="14.4">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ht="14.4">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ht="14.4">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ht="14.4">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ht="14.4">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ht="14.4">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ht="14.4">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ht="14.4">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ht="14.4">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ht="14.4">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ht="14.4">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ht="14.4">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ht="14.4">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ht="14.4">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ht="14.4">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ht="14.4">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ht="14.4">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ht="14.4">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ht="14.4">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ht="14.4">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ht="14.4">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ht="14.4">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ht="14.4">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ht="14.4">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ht="14.4">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ht="14.4">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ht="14.4">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ht="14.4">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ht="14.4">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ht="14.4">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ht="14.4">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ht="14.4">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ht="14.4">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ht="14.4">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ht="14.4">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ht="14.4">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ht="14.4">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ht="14.4">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ht="14.4">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ht="14.4">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ht="14.4">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ht="14.4">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ht="14.4">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ht="14.4">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ht="14.4">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ht="14.4">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ht="14.4">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ht="14.4">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ht="14.4">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ht="14.4">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ht="14.4">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ht="14.4">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ht="14.4">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ht="14.4">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ht="14.4">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ht="14.4">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ht="14.4">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ht="14.4">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ht="14.4">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ht="14.4">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ht="14.4">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ht="14.4">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ht="14.4">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ht="14.4">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ht="14.4">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ht="14.4">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ht="14.4">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ht="14.4">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ht="14.4">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ht="14.4">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ht="14.4">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ht="14.4">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ht="14.4">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ht="14.4">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ht="14.4">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ht="14.4">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ht="14.4">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ht="14.4">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ht="14.4">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ht="14.4">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ht="14.4">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ht="14.4">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ht="14.4">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ht="14.4">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ht="14.4">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ht="14.4">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ht="14.4">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ht="14.4">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ht="14.4">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ht="14.4">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ht="14.4">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ht="14.4">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ht="14.4">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ht="14.4">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ht="14.4">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ht="14.4">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ht="14.4">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ht="14.4">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ht="14.4">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ht="14.4">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ht="14.4">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ht="14.4">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ht="14.4">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ht="14.4">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ht="14.4">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ht="14.4">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ht="14.4">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ht="14.4">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ht="14.4">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ht="14.4">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ht="14.4">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ht="14.4">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ht="14.4">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ht="14.4">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ht="14.4">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ht="14.4">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ht="14.4">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ht="14.4">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ht="14.4">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ht="14.4">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ht="14.4">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ht="14.4">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ht="14.4">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ht="14.4">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ht="14.4">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ht="14.4">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ht="14.4">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ht="14.4">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ht="14.4">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ht="14.4">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ht="14.4">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ht="14.4">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ht="14.4">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ht="14.4">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ht="14.4">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ht="14.4">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ht="14.4">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ht="14.4">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ht="14.4">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ht="14.4">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ht="14.4">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ht="14.4">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ht="14.4">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ht="14.4">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ht="14.4">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ht="14.4">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ht="14.4">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ht="14.4">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ht="14.4">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ht="14.4">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ht="14.4">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ht="14.4">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ht="14.4">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ht="14.4">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ht="14.4">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ht="14.4">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ht="14.4">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ht="14.4">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ht="14.4">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ht="14.4">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ht="14.4">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ht="14.4">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ht="14.4">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ht="14.4">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ht="14.4">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ht="14.4">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ht="14.4">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ht="14.4">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ht="14.4">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ht="14.4">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ht="14.4">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ht="14.4">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ht="14.4">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ht="14.4">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ht="14.4">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ht="14.4">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ht="14.4">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ht="14.4">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ht="14.4">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ht="14.4">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ht="14.4">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ht="14.4">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ht="14.4">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ht="14.4">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ht="14.4">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ht="14.4">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ht="14.4">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ht="14.4">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ht="14.4">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ht="14.4">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ht="14.4">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ht="14.4">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ht="14.4">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ht="14.4">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ht="14.4">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ht="14.4">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ht="14.4">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ht="14.4">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ht="14.4">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ht="14.4">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ht="14.4">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ht="14.4">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ht="14.4">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ht="14.4">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ht="14.4">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ht="14.4">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ht="14.4">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ht="14.4">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ht="14.4">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ht="14.4">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ht="14.4">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ht="14.4">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ht="14.4">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ht="14.4">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ht="14.4">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ht="14.4">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ht="14.4">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ht="14.4">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ht="14.4">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ht="14.4">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ht="14.4">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ht="14.4">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ht="14.4">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ht="14.4">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ht="14.4">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ht="14.4">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ht="14.4">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ht="14.4">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ht="14.4">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ht="14.4">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ht="14.4">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ht="14.4">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ht="14.4">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ht="14.4">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ht="14.4">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ht="14.4">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ht="14.4">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ht="14.4">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ht="14.4">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ht="14.4">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ht="14.4">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ht="14.4">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ht="14.4">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ht="14.4">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ht="14.4">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ht="14.4">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ht="14.4">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ht="14.4">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ht="14.4">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ht="14.4">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ht="14.4">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ht="14.4">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ht="14.4">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ht="14.4">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ht="14.4">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ht="14.4">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ht="14.4">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ht="14.4">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ht="14.4">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ht="14.4">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ht="14.4">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ht="14.4">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ht="14.4">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ht="14.4">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ht="14.4">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ht="14.4">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ht="14.4">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ht="14.4">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ht="14.4">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ht="14.4">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ht="14.4">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ht="14.4">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ht="14.4">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ht="14.4">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ht="14.4">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ht="14.4">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ht="14.4">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ht="14.4">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ht="14.4">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ht="14.4">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ht="14.4">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ht="14.4">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ht="14.4">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ht="14.4">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ht="14.4">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ht="14.4">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ht="14.4">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ht="14.4">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ht="14.4">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ht="14.4">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ht="14.4">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ht="14.4">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ht="14.4">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ht="14.4">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ht="14.4">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ht="14.4">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ht="14.4">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ht="14.4">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ht="14.4">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ht="14.4">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ht="14.4">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ht="14.4">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ht="14.4">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ht="14.4">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ht="14.4">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ht="14.4">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ht="14.4">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ht="14.4">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ht="14.4">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ht="14.4">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ht="14.4">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ht="14.4">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ht="14.4">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ht="14.4">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ht="14.4">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ht="14.4">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ht="14.4">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ht="14.4">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ht="14.4">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ht="14.4">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ht="14.4">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ht="14.4">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ht="14.4">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ht="14.4">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ht="14.4">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ht="14.4">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ht="14.4">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ht="14.4">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ht="14.4">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ht="14.4">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ht="14.4">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ht="14.4">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ht="14.4">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ht="14.4">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ht="14.4">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ht="14.4">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ht="14.4">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ht="14.4">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ht="14.4">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ht="14.4">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ht="14.4">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ht="14.4">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ht="14.4">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ht="14.4">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ht="14.4">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ht="14.4">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ht="14.4">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ht="14.4">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ht="14.4">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ht="14.4">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ht="14.4">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ht="14.4">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ht="14.4">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ht="14.4">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ht="14.4">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ht="14.4">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ht="14.4">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ht="14.4">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ht="14.4">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9" sqref="E9"/>
    </sheetView>
  </sheetViews>
  <sheetFormatPr defaultRowHeight="14"/>
  <cols>
    <col min="1" max="1" width="3.6640625" customWidth="1"/>
    <col min="2" max="2" width="52.75" customWidth="1"/>
  </cols>
  <sheetData>
    <row r="2" spans="2:2">
      <c r="B2" s="3" t="s">
        <v>2503</v>
      </c>
    </row>
    <row r="3" spans="2:2">
      <c r="B3" s="4" t="s">
        <v>2504</v>
      </c>
    </row>
    <row r="4" spans="2:2">
      <c r="B4" s="4" t="s">
        <v>2505</v>
      </c>
    </row>
    <row r="5" spans="2:2">
      <c r="B5" s="4" t="s">
        <v>2506</v>
      </c>
    </row>
    <row r="6" spans="2:2">
      <c r="B6" s="4" t="s">
        <v>2507</v>
      </c>
    </row>
    <row r="7" spans="2:2">
      <c r="B7" s="4" t="s">
        <v>2508</v>
      </c>
    </row>
    <row r="10" spans="2:2">
      <c r="B10" s="3" t="s">
        <v>2509</v>
      </c>
    </row>
    <row r="11" spans="2:2">
      <c r="B11" t="s">
        <v>2510</v>
      </c>
    </row>
    <row r="12" spans="2:2">
      <c r="B12" t="s">
        <v>2511</v>
      </c>
    </row>
    <row r="13" spans="2:2">
      <c r="B13" t="s">
        <v>2512</v>
      </c>
    </row>
    <row r="14" spans="2:2">
      <c r="B14" t="s">
        <v>2513</v>
      </c>
    </row>
    <row r="15" spans="2:2">
      <c r="B15" t="s">
        <v>2514</v>
      </c>
    </row>
    <row r="16" spans="2:2">
      <c r="B16" t="s">
        <v>2515</v>
      </c>
    </row>
    <row r="17" spans="2:2">
      <c r="B17" t="s">
        <v>2516</v>
      </c>
    </row>
    <row r="18" spans="2:2">
      <c r="B18" t="s">
        <v>2517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41331-B1C6-439C-91EC-6112530536E9}">
  <dimension ref="B1:C1"/>
  <sheetViews>
    <sheetView tabSelected="1" topLeftCell="A4" workbookViewId="0">
      <selection activeCell="Y30" sqref="Y30"/>
    </sheetView>
  </sheetViews>
  <sheetFormatPr defaultRowHeight="14"/>
  <cols>
    <col min="1" max="5" width="8.664062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2:H24"/>
  <sheetViews>
    <sheetView workbookViewId="0">
      <selection activeCell="N7" sqref="N7"/>
    </sheetView>
  </sheetViews>
  <sheetFormatPr defaultRowHeight="14"/>
  <cols>
    <col min="1" max="1" width="3.33203125" customWidth="1"/>
    <col min="8" max="8" width="37.33203125" customWidth="1"/>
  </cols>
  <sheetData>
    <row r="2" spans="2:8">
      <c r="H2" t="s">
        <v>2548</v>
      </c>
    </row>
    <row r="3" spans="2:8">
      <c r="B3" t="s">
        <v>2518</v>
      </c>
    </row>
    <row r="4" spans="2:8">
      <c r="H4" s="11" t="s">
        <v>2549</v>
      </c>
    </row>
    <row r="5" spans="2:8">
      <c r="B5" t="s">
        <v>2519</v>
      </c>
      <c r="H5" s="11" t="s">
        <v>2550</v>
      </c>
    </row>
    <row r="6" spans="2:8">
      <c r="B6" s="5"/>
      <c r="C6" t="s">
        <v>2520</v>
      </c>
      <c r="D6" t="s">
        <v>2526</v>
      </c>
      <c r="H6" t="s">
        <v>2551</v>
      </c>
    </row>
    <row r="7" spans="2:8">
      <c r="B7" s="6"/>
      <c r="C7" t="s">
        <v>2521</v>
      </c>
      <c r="D7" t="s">
        <v>2527</v>
      </c>
    </row>
    <row r="8" spans="2:8">
      <c r="B8" s="7"/>
      <c r="C8" t="s">
        <v>2522</v>
      </c>
      <c r="D8" t="s">
        <v>2528</v>
      </c>
    </row>
    <row r="9" spans="2:8">
      <c r="B9" s="8"/>
      <c r="C9" t="s">
        <v>2523</v>
      </c>
      <c r="D9" t="s">
        <v>2529</v>
      </c>
    </row>
    <row r="10" spans="2:8">
      <c r="B10" s="9"/>
      <c r="C10" t="s">
        <v>2524</v>
      </c>
      <c r="D10" t="s">
        <v>2530</v>
      </c>
    </row>
    <row r="11" spans="2:8">
      <c r="B11" s="2"/>
      <c r="C11" t="s">
        <v>2525</v>
      </c>
      <c r="D11" t="s">
        <v>2531</v>
      </c>
    </row>
    <row r="13" spans="2:8">
      <c r="B13" t="s">
        <v>2532</v>
      </c>
    </row>
    <row r="14" spans="2:8">
      <c r="B14" t="s">
        <v>2533</v>
      </c>
      <c r="C14" t="s">
        <v>2538</v>
      </c>
    </row>
    <row r="15" spans="2:8">
      <c r="B15" t="s">
        <v>2534</v>
      </c>
      <c r="C15" t="s">
        <v>2</v>
      </c>
    </row>
    <row r="16" spans="2:8">
      <c r="B16" t="s">
        <v>2535</v>
      </c>
      <c r="C16" t="s">
        <v>4</v>
      </c>
    </row>
    <row r="17" spans="2:3">
      <c r="B17" t="s">
        <v>2536</v>
      </c>
      <c r="C17" t="s">
        <v>2539</v>
      </c>
    </row>
    <row r="18" spans="2:3">
      <c r="B18" t="s">
        <v>2537</v>
      </c>
      <c r="C18" t="s">
        <v>2540</v>
      </c>
    </row>
    <row r="21" spans="2:3">
      <c r="B21" t="s">
        <v>2541</v>
      </c>
    </row>
    <row r="22" spans="2:3">
      <c r="B22" t="s">
        <v>2542</v>
      </c>
      <c r="C22" t="s">
        <v>2543</v>
      </c>
    </row>
    <row r="23" spans="2:3">
      <c r="B23" t="s">
        <v>2544</v>
      </c>
      <c r="C23" t="s">
        <v>2545</v>
      </c>
    </row>
    <row r="24" spans="2:3">
      <c r="B24" s="10" t="s">
        <v>2546</v>
      </c>
      <c r="C24" t="s">
        <v>2547</v>
      </c>
    </row>
  </sheetData>
  <phoneticPr fontId="2" type="noConversion"/>
  <hyperlinks>
    <hyperlink ref="H4" r:id="rId1" xr:uid="{A77862B0-B580-43DF-9272-7B32B5A35427}"/>
    <hyperlink ref="H5" r:id="rId2" xr:uid="{602AE8E3-2587-4F74-A241-C4690768D1EC}"/>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Question 1</vt:lpstr>
      <vt:lpstr>Question 2</vt:lpstr>
      <vt:lpstr>Question 3</vt:lpstr>
      <vt:lpstr>Question 4 and 5</vt:lpstr>
      <vt:lpstr>Question 6</vt:lpstr>
      <vt:lpstr>Question 7</vt:lpstr>
      <vt:lpstr>Question 8</vt:lpstr>
      <vt:lpstr>Data</vt:lpstr>
      <vt:lpstr>Questions &amp; KPIs</vt:lpstr>
      <vt:lpstr>Dashboard</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jemmimah mwangangi</cp:lastModifiedBy>
  <dcterms:created xsi:type="dcterms:W3CDTF">2025-06-13T02:42:26Z</dcterms:created>
  <dcterms:modified xsi:type="dcterms:W3CDTF">2026-06-22T17:45:56Z</dcterms:modified>
</cp:coreProperties>
</file>